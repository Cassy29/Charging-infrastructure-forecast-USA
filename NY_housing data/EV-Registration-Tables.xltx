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/>
  <workbookPr refreshAllConnections="1"/>
  <mc:AlternateContent xmlns:mc="http://schemas.openxmlformats.org/markup-compatibility/2006">
    <mc:Choice Requires="x15">
      <x15ac:absPath xmlns:x15ac="http://schemas.microsoft.com/office/spreadsheetml/2010/11/ac" url="/Users/katrinstricker/Downloads/NY_housing data/"/>
    </mc:Choice>
  </mc:AlternateContent>
  <xr:revisionPtr revIDLastSave="0" documentId="13_ncr:1_{B31CEFDF-1884-3F4E-996D-6FC685D32959}" xr6:coauthVersionLast="43" xr6:coauthVersionMax="43" xr10:uidLastSave="{00000000-0000-0000-0000-000000000000}"/>
  <bookViews>
    <workbookView xWindow="1200" yWindow="1660" windowWidth="26420" windowHeight="17540" activeTab="3" xr2:uid="{78BA5EFE-572C-41AF-A13B-AB5CC98BC729}"/>
  </bookViews>
  <sheets>
    <sheet name="Current by Utility" sheetId="3" r:id="rId1"/>
    <sheet name="Current by ZIP Code" sheetId="7" r:id="rId2"/>
    <sheet name="Current by Make-Model" sheetId="2" r:id="rId3"/>
    <sheet name="Current by County" sheetId="6" r:id="rId4"/>
    <sheet name="Original Over Time" sheetId="1" r:id="rId5"/>
    <sheet name="Original by Make" sheetId="5" r:id="rId6"/>
  </sheets>
  <definedNames>
    <definedName name="ExternalData_1" localSheetId="5" hidden="1">'Original by Make'!$A$1:$F$367</definedName>
    <definedName name="ExternalData_1" localSheetId="4" hidden="1">'Original Over Time'!$A$1:$E$48</definedName>
    <definedName name="ExternalData_2" localSheetId="2" hidden="1">'Current by Make-Model'!$A$1:$C$62</definedName>
    <definedName name="ExternalData_3" localSheetId="0" hidden="1">'Current by Utility'!$A$1:$D$10</definedName>
    <definedName name="ExternalData_4" localSheetId="3" hidden="1">'Current by County'!$A$1:$D$65</definedName>
    <definedName name="ExternalData_5" localSheetId="1" hidden="1">'Current by ZIP Code'!$A$1:$D$1513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68" i="5" l="1"/>
  <c r="E368" i="5"/>
  <c r="F368" i="5"/>
  <c r="C49" i="1"/>
  <c r="D49" i="1"/>
  <c r="E49" i="1"/>
  <c r="B1514" i="7"/>
  <c r="C1514" i="7"/>
  <c r="D1514" i="7"/>
  <c r="B66" i="6"/>
  <c r="C66" i="6"/>
  <c r="D66" i="6"/>
  <c r="C63" i="2"/>
  <c r="B11" i="3"/>
  <c r="C11" i="3"/>
  <c r="D1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tlas EV Market File" description="Connection to the 'Atlas EV Market File' query in the workbook." type="5" refreshedVersion="0" background="1">
    <dbPr connection="Provider=Microsoft.Mashup.OleDb.1;Data Source=$Workbook$;Location=&quot;Atlas EV Market File&quot;;Extended Properties=&quot;&quot;" command="SELECT * FROM [Atlas EV Market File]"/>
  </connection>
  <connection id="2" xr16:uid="{00000000-0015-0000-FFFF-FFFF01000000}" keepAlive="1" name="Query - Current Registrations by County" description="Connection to the 'Current Registrations by County' query in the workbook." type="5" refreshedVersion="6" background="1">
    <dbPr connection="Provider=Microsoft.Mashup.OleDb.1;Data Source=$Workbook$;Location=Current Registrations by County;Extended Properties=&quot;&quot;" command="SELECT * FROM [Current Registrations by County]"/>
  </connection>
  <connection id="3" xr16:uid="{00000000-0015-0000-FFFF-FFFF02000000}" keepAlive="1" name="Query - Current Registrations by Utility" description="Connection to the 'Current Registrations by Utility' query in the workbook." type="5" refreshedVersion="6" background="1" saveData="1">
    <dbPr connection="Provider=Microsoft.Mashup.OleDb.1;Data Source=$Workbook$;Location=Current Registrations by Utility;Extended Properties=&quot;&quot;" command="SELECT * FROM [Current Registrations by Utility]"/>
  </connection>
  <connection id="4" xr16:uid="{00000000-0015-0000-FFFF-FFFF03000000}" keepAlive="1" name="Query - Current Registrations by Vehicle Make and Model" description="Connection to the 'Current Registrations by Vehicle Make and Model' query in the workbook." type="5" refreshedVersion="6" background="1" saveData="1">
    <dbPr connection="Provider=Microsoft.Mashup.OleDb.1;Data Source=$Workbook$;Location=Current Registrations by Vehicle Make and Model;Extended Properties=&quot;&quot;" command="SELECT * FROM [Current Registrations by Vehicle Make and Model]"/>
  </connection>
  <connection id="5" xr16:uid="{00000000-0015-0000-FFFF-FFFF04000000}" keepAlive="1" name="Query - Current Registrations by ZIP Code" description="Connection to the 'Current Registrations by ZIP Code' query in the workbook." type="5" refreshedVersion="6" background="1">
    <dbPr connection="Provider=Microsoft.Mashup.OleDb.1;Data Source=$Workbook$;Location=Current Registrations by ZIP Code;Extended Properties=&quot;&quot;" command="SELECT * FROM [Current Registrations by ZIP Code]"/>
  </connection>
  <connection id="6" xr16:uid="{00000000-0015-0000-FFFF-FFFF05000000}" keepAlive="1" name="Query - EV Hub SharePoint" description="Connection to the 'EV Hub SharePoint' query in the workbook." type="5" refreshedVersion="0" background="1">
    <dbPr connection="Provider=Microsoft.Mashup.OleDb.1;Data Source=$Workbook$;Location=&quot;EV Hub SharePoint&quot;;Extended Properties=&quot;&quot;" command="SELECT * FROM [EV Hub SharePoint]"/>
  </connection>
  <connection id="7" xr16:uid="{00000000-0015-0000-FFFF-FFFF06000000}" keepAlive="1" name="Query - EV Registrations (staging)" description="Connection to the 'EV Registrations (staging)' query in the workbook." type="5" refreshedVersion="0" background="1">
    <dbPr connection="Provider=Microsoft.Mashup.OleDb.1;Data Source=$Workbook$;Location=&quot;EV Registrations (staging)&quot;;Extended Properties=&quot;&quot;" command="SELECT * FROM [EV Registrations (staging)]"/>
  </connection>
  <connection id="8" xr16:uid="{00000000-0015-0000-FFFF-FFFF07000000}" keepAlive="1" name="Query - EV Registrations File" description="Connection to the 'EV Registrations File' query in the workbook." type="5" refreshedVersion="0" background="1">
    <dbPr connection="Provider=Microsoft.Mashup.OleDb.1;Data Source=$Workbook$;Location=&quot;EV Registrations File&quot;;Extended Properties=&quot;&quot;" command="SELECT * FROM [EV Registrations File]"/>
  </connection>
  <connection id="9" xr16:uid="{00000000-0015-0000-FFFF-FFFF08000000}" keepAlive="1" name="Query - Location (staging)" description="Connection to the 'Location (staging)' query in the workbook." type="5" refreshedVersion="0" background="1">
    <dbPr connection="Provider=Microsoft.Mashup.OleDb.1;Data Source=$Workbook$;Location=&quot;Location (staging)&quot;;Extended Properties=&quot;&quot;" command="SELECT * FROM [Location (staging)]"/>
  </connection>
  <connection id="10" xr16:uid="{00000000-0015-0000-FFFF-FFFF09000000}" keepAlive="1" name="Query - Original Registrations by Month and Year (2011-2015)" description="Connection to the 'Original Registrations by Month and Year (2011-2015)' query in the workbook." type="5" refreshedVersion="0" background="1">
    <dbPr connection="Provider=Microsoft.Mashup.OleDb.1;Data Source=$Workbook$;Location=&quot;Original Registrations by Month and Year (2011-2015)&quot;;Extended Properties=&quot;&quot;" command="SELECT * FROM [Original Registrations by Month and Year (2011-2015)]"/>
  </connection>
  <connection id="11" xr16:uid="{00000000-0015-0000-FFFF-FFFF0A000000}" keepAlive="1" name="Query - Original Registrations by Month and Year(1)" description="Connection to the 'Original Registrations by Month and Year' query in the workbook." type="5" refreshedVersion="6" background="1" saveData="1">
    <dbPr connection="Provider=Microsoft.Mashup.OleDb.1;Data Source=$Workbook$;Location=Original Registrations by Month and Year;Extended Properties=&quot;&quot;" command="SELECT * FROM [Original Registrations by Month and Year]"/>
  </connection>
  <connection id="12" xr16:uid="{00000000-0015-0000-FFFF-FFFF0B000000}" keepAlive="1" name="Query - Original Registrations by Quarter and Make (2011-2015)" description="Connection to the 'Original Registrations by Quarter and Make (2011-2015)' query in the workbook." type="5" refreshedVersion="6" background="1" saveData="1">
    <dbPr connection="Provider=Microsoft.Mashup.OleDb.1;Data Source=$Workbook$;Location=&quot;Original Registrations by Quarter and Make (2011-2015)&quot;;Extended Properties=&quot;&quot;" command="SELECT * FROM [Original Registrations by Quarter and Make (2011-2015)]"/>
  </connection>
  <connection id="13" xr16:uid="{00000000-0015-0000-FFFF-FFFF0C000000}" keepAlive="1" name="Query - Original Registrations by Quarter and Make(1)" description="Connection to the 'Original Registrations by Quarter and Make' query in the workbook." type="5" refreshedVersion="6" background="1" saveData="1">
    <dbPr connection="Provider=Microsoft.Mashup.OleDb.1;Data Source=$Workbook$;Location=Original Registrations by Quarter and Make;Extended Properties=&quot;&quot;" command="SELECT * FROM [Original Registrations by Quarter and Make]"/>
  </connection>
  <connection id="14" xr16:uid="{00000000-0015-0000-FFFF-FFFF0D000000}" keepAlive="1" name="Query - Resource File" description="Connection to the 'Resource File' query in the workbook." type="5" refreshedVersion="0" background="1">
    <dbPr connection="Provider=Microsoft.Mashup.OleDb.1;Data Source=$Workbook$;Location=&quot;Resource File&quot;;Extended Properties=&quot;&quot;" command="SELECT * FROM [Resource File]"/>
  </connection>
  <connection id="15" xr16:uid="{00000000-0015-0000-FFFF-FFFF0E000000}" keepAlive="1" name="Query - Vehicles (staging)" description="Connection to the 'Vehicles (staging)' query in the workbook." type="5" refreshedVersion="0" background="1">
    <dbPr connection="Provider=Microsoft.Mashup.OleDb.1;Data Source=$Workbook$;Location=&quot;Vehicles (staging)&quot;;Extended Properties=&quot;&quot;" command="SELECT * FROM [Vehicles (staging)]"/>
  </connection>
  <connection id="16" xr16:uid="{00000000-0015-0000-FFFF-FFFF0F000000}" keepAlive="1" name="Query - Vehicles Table" description="Connection to the 'Vehicles Table' query in the workbook." type="5" refreshedVersion="0" background="1">
    <dbPr connection="Provider=Microsoft.Mashup.OleDb.1;Data Source=$Workbook$;Location=&quot;Vehicles Table&quot;;Extended Properties=&quot;&quot;" command="SELECT * FROM [Vehicles Table]"/>
  </connection>
  <connection id="17" xr16:uid="{00000000-0015-0000-FFFF-FFFF10000000}" keepAlive="1" name="Query - Vehicles to Exclude Table" description="Connection to the 'Vehicles to Exclude Table' query in the workbook." type="5" refreshedVersion="0" background="1">
    <dbPr connection="Provider=Microsoft.Mashup.OleDb.1;Data Source=$Workbook$;Location=&quot;Vehicles to Exclude Table&quot;;Extended Properties=&quot;&quot;" command="SELECT * FROM [Vehicles to Exclude Table]"/>
  </connection>
</connections>
</file>

<file path=xl/sharedStrings.xml><?xml version="1.0" encoding="utf-8"?>
<sst xmlns="http://schemas.openxmlformats.org/spreadsheetml/2006/main" count="6" uniqueCount="1">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</sst>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39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00000000-0016-0000-0000-000000000000}" autoFormatId="16" applyNumberFormats="0" applyBorderFormats="0" applyFontFormats="0" applyPatternFormats="0" applyAlignmentFormats="0" applyWidthHeightFormats="0">
  <queryTableRefresh nextId="7">
    <queryTableFields count="4">
      <queryTableField id="1" name="EIA Utility Name" tableColumnId="1"/>
      <queryTableField id="4" name="PHEV/EREV" tableColumnId="4"/>
      <queryTableField id="5" name="BEV" tableColumnId="5"/>
      <queryTableField id="6" name="Total EV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5" xr16:uid="{00000000-0016-0000-0200-000002000000}" autoFormatId="16" applyNumberFormats="0" applyBorderFormats="0" applyFontFormats="0" applyPatternFormats="0" applyAlignmentFormats="0" applyWidthHeightFormats="0">
  <queryTableRefresh nextId="5">
    <queryTableFields count="4">
      <queryTableField id="1" name="ZIP Code" tableColumnId="1"/>
      <queryTableField id="2" name="PHEV/EREV" tableColumnId="2"/>
      <queryTableField id="3" name="BEV" tableColumnId="3"/>
      <queryTableField id="4" name="Total EVs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0300-000003000000}" autoFormatId="16" applyNumberFormats="0" applyBorderFormats="0" applyFontFormats="0" applyPatternFormats="0" applyAlignmentFormats="0" applyWidthHeightFormats="0">
  <queryTableRefresh nextId="4">
    <queryTableFields count="3">
      <queryTableField id="1" name="Make" tableColumnId="1"/>
      <queryTableField id="2" name="Model" tableColumnId="2"/>
      <queryTableField id="3" name="Registrations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2" xr16:uid="{00000000-0016-0000-01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County" tableColumnId="1"/>
      <queryTableField id="2" name="PHEV/EREV" tableColumnId="2"/>
      <queryTableField id="3" name="BEV" tableColumnId="3"/>
      <queryTableField id="4" name="Total EV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400-000004000000}" autoFormatId="16" applyNumberFormats="0" applyBorderFormats="0" applyFontFormats="0" applyPatternFormats="0" applyAlignmentFormats="0" applyWidthHeightFormats="0">
  <queryTableRefresh nextId="10">
    <queryTableFields count="5">
      <queryTableField id="1" name="Year" tableColumnId="1"/>
      <queryTableField id="2" name="Month Name" tableColumnId="2"/>
      <queryTableField id="3" name="PHEV/EREV" tableColumnId="3"/>
      <queryTableField id="4" name="BEV" tableColumnId="4"/>
      <queryTableField id="5" name="Total EV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00000000-0016-0000-0500-000005000000}" autoFormatId="16" applyNumberFormats="0" applyBorderFormats="0" applyFontFormats="0" applyPatternFormats="0" applyAlignmentFormats="0" applyWidthHeightFormats="0">
  <queryTableRefresh nextId="7">
    <queryTableFields count="6">
      <queryTableField id="1" name="Year" tableColumnId="1"/>
      <queryTableField id="2" name="Quarter" tableColumnId="2"/>
      <queryTableField id="3" name="Make" tableColumnId="3"/>
      <queryTableField id="4" name="PHEV/EREV" tableColumnId="4"/>
      <queryTableField id="5" name="BEV" tableColumnId="5"/>
      <queryTableField id="6" name="Total EVs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29843E-B6E1-4E14-9FF5-69A8A486C5D4}" name="Current_Registrations_by_Utility" displayName="Current_Registrations_by_Utility" ref="A1:D11" tableType="queryTable" totalsRowCount="1">
  <autoFilter ref="A1:D10" xr:uid="{2918F1CA-8F07-4667-BCB8-500D4394CBCF}"/>
  <tableColumns count="4">
    <tableColumn id="1" xr3:uid="{0050A0D5-8C35-4280-B7F0-78CEF84C329E}" uniqueName="1" name="EIA Utility Name" totalsRowLabel="Total" queryTableFieldId="1" dataDxfId="38"/>
    <tableColumn id="4" xr3:uid="{95FBDB89-3B58-4681-A935-905F1F48DE63}" uniqueName="4" name="PHEV/EREV" totalsRowFunction="sum" queryTableFieldId="4" dataDxfId="37" totalsRowDxfId="36"/>
    <tableColumn id="5" xr3:uid="{280A6DB9-97F7-40C2-991F-AB86ED1D215F}" uniqueName="5" name="BEV" totalsRowFunction="sum" queryTableFieldId="5" dataDxfId="35" totalsRowDxfId="34"/>
    <tableColumn id="2" xr3:uid="{24FDAFDC-E6A1-4E96-825A-EF16BF5995B2}" uniqueName="2" name="Total EVs" totalsRowFunction="sum" queryTableFieldId="6" dataDxfId="33" totalsRowDxfId="3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D62B15-0315-400D-8CE9-815045B6FE55}" name="Current_Registrations_by_ZIP_Code" displayName="Current_Registrations_by_ZIP_Code" ref="A1:D1514" tableType="queryTable" totalsRowCount="1">
  <autoFilter ref="A1:D1513" xr:uid="{1B5ADC2D-C300-4295-BDBF-9711860825F2}"/>
  <tableColumns count="4">
    <tableColumn id="1" xr3:uid="{79146275-87B1-457B-812B-25E0E997EA78}" uniqueName="1" name="ZIP Code" totalsRowLabel="Total" queryTableFieldId="1" dataDxfId="31"/>
    <tableColumn id="2" xr3:uid="{1F0948BF-C14F-4DC5-B2DE-B685CAFDB7DB}" uniqueName="2" name="PHEV/EREV" totalsRowFunction="sum" queryTableFieldId="2" dataDxfId="30" totalsRowDxfId="29"/>
    <tableColumn id="3" xr3:uid="{563899E2-48C7-46B4-AA10-D0F40E34F8B0}" uniqueName="3" name="BEV" totalsRowFunction="sum" queryTableFieldId="3" dataDxfId="28" totalsRowDxfId="27"/>
    <tableColumn id="4" xr3:uid="{52F437AB-6651-4FB5-B211-EE72ED28CCAC}" uniqueName="4" name="Total EVs" totalsRowFunction="sum" queryTableFieldId="4" dataDxfId="26" totalsRowDxfId="25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2FC394-FF87-47E4-B6E0-CB2182D5C819}" name="Current_Registrations_by_Vehicle_Make_and_Model" displayName="Current_Registrations_by_Vehicle_Make_and_Model" ref="A1:C63" tableType="queryTable" totalsRowCount="1">
  <autoFilter ref="A1:C62" xr:uid="{C881894D-30DC-43BC-895B-2057C164E236}"/>
  <sortState xmlns:xlrd2="http://schemas.microsoft.com/office/spreadsheetml/2017/richdata2" ref="A2:C62">
    <sortCondition descending="1" ref="C1:C62"/>
  </sortState>
  <tableColumns count="3">
    <tableColumn id="1" xr3:uid="{10E5AC83-3135-4230-8A8C-E194DF2793FA}" uniqueName="1" name="Make" totalsRowLabel="Total" queryTableFieldId="1" dataDxfId="24"/>
    <tableColumn id="2" xr3:uid="{EDA97295-3257-403B-B838-FC1A8FA3C292}" uniqueName="2" name="Model" queryTableFieldId="2" dataDxfId="23"/>
    <tableColumn id="3" xr3:uid="{E16ED7D3-17D9-4C21-8ADC-A5A0D16461F0}" uniqueName="3" name="Registrations" totalsRowFunction="sum" queryTableFieldId="3" dataDxfId="22" totalsRowDxfId="2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48C0BB-533B-42EE-9CC6-EAE9DA13A04D}" name="Current_Registrations_by_County" displayName="Current_Registrations_by_County" ref="A1:D66" tableType="queryTable" totalsRowCount="1">
  <autoFilter ref="A1:D65" xr:uid="{C23D1EEE-22CF-4697-ADAF-D50859828398}"/>
  <tableColumns count="4">
    <tableColumn id="1" xr3:uid="{9DFD92B6-A9BD-496D-8192-15B142C8A2AA}" uniqueName="1" name="County" totalsRowLabel="Total" queryTableFieldId="1" dataDxfId="20"/>
    <tableColumn id="2" xr3:uid="{20536DDA-9AF2-4CBE-997C-16A389F8EB51}" uniqueName="2" name="PHEV/EREV" totalsRowFunction="sum" queryTableFieldId="2" dataDxfId="19" totalsRowDxfId="18"/>
    <tableColumn id="3" xr3:uid="{31B33C26-43D6-497C-9CA9-70E0CCC78163}" uniqueName="3" name="BEV" totalsRowFunction="sum" queryTableFieldId="3" dataDxfId="17" totalsRowDxfId="16"/>
    <tableColumn id="4" xr3:uid="{B939E150-4E22-441E-8770-1CC338813426}" uniqueName="4" name="Total EVs" totalsRowFunction="sum" queryTableFieldId="4" dataDxfId="15" totalsRowDxfId="14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180A52-7310-4E22-8324-630855B55AFC}" name="Original_Registrations_by_Month_and_Year" displayName="Original_Registrations_by_Month_and_Year" ref="A1:E49" tableType="queryTable" totalsRowCount="1">
  <autoFilter ref="A1:E48" xr:uid="{093DC5BD-0891-4FC8-A3F9-BB1D2C55E8C9}"/>
  <tableColumns count="5">
    <tableColumn id="1" xr3:uid="{1E7283CB-0E36-4589-B076-9FF4B176276F}" uniqueName="1" name="Year" totalsRowLabel="Total" queryTableFieldId="1"/>
    <tableColumn id="2" xr3:uid="{CF012A4A-2DE5-4BAE-AE16-4B099EC90067}" uniqueName="2" name="Month Name" queryTableFieldId="2" dataDxfId="13"/>
    <tableColumn id="3" xr3:uid="{C16A49DB-900F-4B14-B426-3504682EA6C2}" uniqueName="3" name="PHEV/EREV" totalsRowFunction="sum" queryTableFieldId="3" dataDxfId="12" totalsRowDxfId="11"/>
    <tableColumn id="4" xr3:uid="{7B255270-FD0D-421E-8A32-D7930A98632B}" uniqueName="4" name="BEV" totalsRowFunction="sum" queryTableFieldId="4" dataDxfId="10" totalsRowDxfId="9"/>
    <tableColumn id="5" xr3:uid="{4D4CFAA9-F1AE-43E3-B44D-1F003FBB6A84}" uniqueName="5" name="Total EVs" totalsRowFunction="sum" queryTableFieldId="5" dataDxfId="8" totalsRowDxfId="7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B9CF8B-E3AC-49AB-9706-B257A33F6FB8}" name="Original_Registrations_by_Quarter_and_Make" displayName="Original_Registrations_by_Quarter_and_Make" ref="A1:F368" tableType="queryTable" totalsRowCount="1">
  <autoFilter ref="A1:F367" xr:uid="{91A434D1-F9B0-4D90-B552-68C83B6E705C}"/>
  <tableColumns count="6">
    <tableColumn id="1" xr3:uid="{EC53B6BF-9A05-4442-AE70-832A81D525F6}" uniqueName="1" name="Year" totalsRowLabel="Total" queryTableFieldId="1"/>
    <tableColumn id="2" xr3:uid="{73424946-37F1-404F-8FDA-CEBE025D1056}" uniqueName="2" name="Quarter" queryTableFieldId="2"/>
    <tableColumn id="3" xr3:uid="{B9C9AE2A-AB2D-44AD-A120-12F3408CADF9}" uniqueName="3" name="Make" queryTableFieldId="3" dataDxfId="6"/>
    <tableColumn id="4" xr3:uid="{6420F22F-C75C-4621-86EE-7B4A9298C446}" uniqueName="4" name="PHEV/EREV" totalsRowFunction="sum" queryTableFieldId="4" dataDxfId="5" totalsRowDxfId="4"/>
    <tableColumn id="5" xr3:uid="{CE09A412-802C-486B-9FEC-8323D16371DD}" uniqueName="5" name="BEV" totalsRowFunction="sum" queryTableFieldId="5" dataDxfId="3" totalsRowDxfId="2"/>
    <tableColumn id="6" xr3:uid="{7188DCAA-E1E5-43E1-8DB7-81B30F1B794A}" uniqueName="6" name="Total EVs" totalsRowFunction="sum" queryTableFieldId="6" dataDxfId="1" totalsRow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tlas Public Policy 2017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2683C6"/>
      </a:accent1>
      <a:accent2>
        <a:srgbClr val="107C10"/>
      </a:accent2>
      <a:accent3>
        <a:srgbClr val="E81123"/>
      </a:accent3>
      <a:accent4>
        <a:srgbClr val="5C2D91"/>
      </a:accent4>
      <a:accent5>
        <a:srgbClr val="FF8C00"/>
      </a:accent5>
      <a:accent6>
        <a:srgbClr val="E3008C"/>
      </a:accent6>
      <a:hlink>
        <a:srgbClr val="002060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A5F3D-9C63-4399-8419-3B2319E3F607}">
  <sheetPr>
    <tabColor theme="4"/>
  </sheetPr>
  <dimension ref="A1:F1397"/>
  <sheetViews>
    <sheetView workbookViewId="0">
      <selection activeCell="D35" sqref="D35"/>
    </sheetView>
  </sheetViews>
  <sheetFormatPr baseColWidth="10" defaultColWidth="8.83203125" defaultRowHeight="15" x14ac:dyDescent="0.2"/>
  <cols>
    <col min="1" max="1" width="27.6640625" bestFit="1" customWidth="1"/>
    <col min="2" max="2" width="12.6640625" bestFit="1" customWidth="1"/>
    <col min="3" max="3" width="6.33203125" bestFit="1" customWidth="1"/>
    <col min="4" max="4" width="10.83203125" style="1" bestFit="1" customWidth="1"/>
    <col min="5" max="5" width="13.33203125" style="1" bestFit="1" customWidth="1"/>
    <col min="6" max="6" width="6.6640625" style="1" bestFit="1" customWidth="1"/>
  </cols>
  <sheetData>
    <row r="1" spans="1:6" x14ac:dyDescent="0.2">
      <c r="A1"/>
      <c r="B1" s="1"/>
      <c r="C1" s="1"/>
      <c r="D1" s="1"/>
      <c r="E1"/>
      <c r="F1"/>
    </row>
    <row r="2" spans="1:6" x14ac:dyDescent="0.2">
      <c r="A2"/>
      <c r="B2" s="1"/>
      <c r="C2" s="1"/>
      <c r="D2" s="1"/>
      <c r="E2"/>
      <c r="F2"/>
    </row>
    <row r="3" spans="1:6" x14ac:dyDescent="0.2">
      <c r="A3"/>
      <c r="B3" s="1"/>
      <c r="C3" s="1"/>
      <c r="D3" s="1"/>
      <c r="E3"/>
      <c r="F3"/>
    </row>
    <row r="4" spans="1:6" x14ac:dyDescent="0.2">
      <c r="A4"/>
      <c r="B4" s="1"/>
      <c r="C4" s="1"/>
      <c r="D4" s="1"/>
      <c r="E4"/>
      <c r="F4"/>
    </row>
    <row r="5" spans="1:6" x14ac:dyDescent="0.2">
      <c r="A5"/>
      <c r="B5" s="1"/>
      <c r="C5" s="1"/>
      <c r="D5" s="1"/>
      <c r="E5"/>
      <c r="F5"/>
    </row>
    <row r="6" spans="1:6" x14ac:dyDescent="0.2">
      <c r="A6"/>
      <c r="B6" s="1"/>
      <c r="C6" s="1"/>
      <c r="D6" s="1"/>
      <c r="E6"/>
      <c r="F6"/>
    </row>
    <row r="7" spans="1:6" x14ac:dyDescent="0.2">
      <c r="A7"/>
      <c r="B7" s="1"/>
      <c r="C7" s="1"/>
      <c r="D7" s="1"/>
      <c r="E7"/>
      <c r="F7"/>
    </row>
    <row r="8" spans="1:6" x14ac:dyDescent="0.2">
      <c r="A8"/>
      <c r="B8" s="1"/>
      <c r="C8" s="1"/>
      <c r="D8" s="1"/>
      <c r="E8"/>
      <c r="F8"/>
    </row>
    <row r="9" spans="1:6" x14ac:dyDescent="0.2">
      <c r="A9"/>
      <c r="B9" s="1"/>
      <c r="C9" s="1"/>
      <c r="D9" s="1"/>
      <c r="E9"/>
      <c r="F9"/>
    </row>
    <row r="10" spans="1:6" x14ac:dyDescent="0.2">
      <c r="A10"/>
      <c r="B10" s="1"/>
      <c r="C10" s="1"/>
      <c r="D10" s="1"/>
      <c r="E10"/>
      <c r="F10"/>
    </row>
    <row r="11" spans="1:6" x14ac:dyDescent="0.2">
      <c r="A11" t="s">
        <v>0</v>
      </c>
      <c r="B11" s="1">
        <f>SUBTOTAL(109,Current_Registrations_by_Utility[PHEV/EREV])</f>
        <v>25513</v>
      </c>
      <c r="C11" s="1">
        <f>SUBTOTAL(109,Current_Registrations_by_Utility[BEV])</f>
        <v>16947</v>
      </c>
      <c r="D11" s="1">
        <f>SUBTOTAL(109,Current_Registrations_by_Utility[Total EVs])</f>
        <v>42460</v>
      </c>
      <c r="E11"/>
      <c r="F11"/>
    </row>
    <row r="12" spans="1:6" x14ac:dyDescent="0.2">
      <c r="E12"/>
      <c r="F12"/>
    </row>
    <row r="13" spans="1:6" x14ac:dyDescent="0.2">
      <c r="E13"/>
      <c r="F13"/>
    </row>
    <row r="14" spans="1:6" x14ac:dyDescent="0.2">
      <c r="E14"/>
      <c r="F14"/>
    </row>
    <row r="15" spans="1:6" x14ac:dyDescent="0.2">
      <c r="E15"/>
      <c r="F15"/>
    </row>
    <row r="16" spans="1:6" x14ac:dyDescent="0.2">
      <c r="E16"/>
      <c r="F16"/>
    </row>
    <row r="17" spans="5:6" x14ac:dyDescent="0.2">
      <c r="E17"/>
      <c r="F17"/>
    </row>
    <row r="18" spans="5:6" x14ac:dyDescent="0.2">
      <c r="E18"/>
      <c r="F18"/>
    </row>
    <row r="19" spans="5:6" x14ac:dyDescent="0.2">
      <c r="E19"/>
      <c r="F19"/>
    </row>
    <row r="20" spans="5:6" x14ac:dyDescent="0.2">
      <c r="E20"/>
      <c r="F20"/>
    </row>
    <row r="21" spans="5:6" x14ac:dyDescent="0.2">
      <c r="E21"/>
      <c r="F21"/>
    </row>
    <row r="22" spans="5:6" x14ac:dyDescent="0.2">
      <c r="E22"/>
      <c r="F22"/>
    </row>
    <row r="23" spans="5:6" x14ac:dyDescent="0.2">
      <c r="E23"/>
      <c r="F23"/>
    </row>
    <row r="24" spans="5:6" x14ac:dyDescent="0.2">
      <c r="E24"/>
      <c r="F24"/>
    </row>
    <row r="25" spans="5:6" x14ac:dyDescent="0.2">
      <c r="E25"/>
      <c r="F25"/>
    </row>
    <row r="26" spans="5:6" x14ac:dyDescent="0.2">
      <c r="E26"/>
      <c r="F26"/>
    </row>
    <row r="27" spans="5:6" x14ac:dyDescent="0.2">
      <c r="E27"/>
      <c r="F27"/>
    </row>
    <row r="28" spans="5:6" x14ac:dyDescent="0.2">
      <c r="E28"/>
      <c r="F28"/>
    </row>
    <row r="29" spans="5:6" x14ac:dyDescent="0.2">
      <c r="E29"/>
      <c r="F29"/>
    </row>
    <row r="30" spans="5:6" x14ac:dyDescent="0.2">
      <c r="E30"/>
      <c r="F30"/>
    </row>
    <row r="31" spans="5:6" x14ac:dyDescent="0.2">
      <c r="E31"/>
      <c r="F31"/>
    </row>
    <row r="32" spans="5:6" x14ac:dyDescent="0.2">
      <c r="E32"/>
      <c r="F32"/>
    </row>
    <row r="33" spans="5:6" x14ac:dyDescent="0.2">
      <c r="E33"/>
      <c r="F33"/>
    </row>
    <row r="34" spans="5:6" x14ac:dyDescent="0.2">
      <c r="E34"/>
      <c r="F34"/>
    </row>
    <row r="35" spans="5:6" x14ac:dyDescent="0.2">
      <c r="E35"/>
      <c r="F35"/>
    </row>
    <row r="36" spans="5:6" x14ac:dyDescent="0.2">
      <c r="E36"/>
      <c r="F36"/>
    </row>
    <row r="37" spans="5:6" x14ac:dyDescent="0.2">
      <c r="E37"/>
      <c r="F37"/>
    </row>
    <row r="38" spans="5:6" x14ac:dyDescent="0.2">
      <c r="E38"/>
      <c r="F38"/>
    </row>
    <row r="39" spans="5:6" x14ac:dyDescent="0.2">
      <c r="E39"/>
      <c r="F39"/>
    </row>
    <row r="40" spans="5:6" x14ac:dyDescent="0.2">
      <c r="E40"/>
      <c r="F40"/>
    </row>
    <row r="41" spans="5:6" x14ac:dyDescent="0.2">
      <c r="E41"/>
      <c r="F41"/>
    </row>
    <row r="42" spans="5:6" x14ac:dyDescent="0.2">
      <c r="E42"/>
      <c r="F42"/>
    </row>
    <row r="43" spans="5:6" x14ac:dyDescent="0.2">
      <c r="E43"/>
      <c r="F43"/>
    </row>
    <row r="44" spans="5:6" x14ac:dyDescent="0.2">
      <c r="E44"/>
      <c r="F44"/>
    </row>
    <row r="45" spans="5:6" x14ac:dyDescent="0.2">
      <c r="E45"/>
      <c r="F45"/>
    </row>
    <row r="46" spans="5:6" x14ac:dyDescent="0.2">
      <c r="E46"/>
      <c r="F46"/>
    </row>
    <row r="47" spans="5:6" x14ac:dyDescent="0.2">
      <c r="E47"/>
      <c r="F47"/>
    </row>
    <row r="48" spans="5:6" x14ac:dyDescent="0.2">
      <c r="E48"/>
      <c r="F48"/>
    </row>
    <row r="49" spans="5:6" x14ac:dyDescent="0.2">
      <c r="E49"/>
      <c r="F49"/>
    </row>
    <row r="50" spans="5:6" x14ac:dyDescent="0.2">
      <c r="E50"/>
      <c r="F50"/>
    </row>
    <row r="51" spans="5:6" x14ac:dyDescent="0.2">
      <c r="E51"/>
      <c r="F51"/>
    </row>
    <row r="52" spans="5:6" x14ac:dyDescent="0.2">
      <c r="E52"/>
      <c r="F52"/>
    </row>
    <row r="53" spans="5:6" x14ac:dyDescent="0.2">
      <c r="E53"/>
      <c r="F53"/>
    </row>
    <row r="54" spans="5:6" x14ac:dyDescent="0.2">
      <c r="E54"/>
      <c r="F54"/>
    </row>
    <row r="55" spans="5:6" x14ac:dyDescent="0.2">
      <c r="E55"/>
      <c r="F55"/>
    </row>
    <row r="56" spans="5:6" x14ac:dyDescent="0.2">
      <c r="E56"/>
      <c r="F56"/>
    </row>
    <row r="57" spans="5:6" x14ac:dyDescent="0.2">
      <c r="E57"/>
      <c r="F57"/>
    </row>
    <row r="58" spans="5:6" x14ac:dyDescent="0.2">
      <c r="E58"/>
      <c r="F58"/>
    </row>
    <row r="59" spans="5:6" x14ac:dyDescent="0.2">
      <c r="E59"/>
      <c r="F59"/>
    </row>
    <row r="60" spans="5:6" x14ac:dyDescent="0.2">
      <c r="E60"/>
      <c r="F60"/>
    </row>
    <row r="61" spans="5:6" x14ac:dyDescent="0.2">
      <c r="E61"/>
      <c r="F61"/>
    </row>
    <row r="62" spans="5:6" x14ac:dyDescent="0.2">
      <c r="E62"/>
      <c r="F62"/>
    </row>
    <row r="63" spans="5:6" x14ac:dyDescent="0.2">
      <c r="E63"/>
      <c r="F63"/>
    </row>
    <row r="64" spans="5:6" x14ac:dyDescent="0.2">
      <c r="E64"/>
      <c r="F64"/>
    </row>
    <row r="65" spans="5:6" x14ac:dyDescent="0.2">
      <c r="E65"/>
      <c r="F65"/>
    </row>
    <row r="66" spans="5:6" x14ac:dyDescent="0.2">
      <c r="E66"/>
      <c r="F66"/>
    </row>
    <row r="67" spans="5:6" x14ac:dyDescent="0.2">
      <c r="E67"/>
      <c r="F67"/>
    </row>
    <row r="68" spans="5:6" x14ac:dyDescent="0.2">
      <c r="E68"/>
      <c r="F68"/>
    </row>
    <row r="69" spans="5:6" x14ac:dyDescent="0.2">
      <c r="E69"/>
      <c r="F69"/>
    </row>
    <row r="70" spans="5:6" x14ac:dyDescent="0.2">
      <c r="E70"/>
      <c r="F70"/>
    </row>
    <row r="71" spans="5:6" x14ac:dyDescent="0.2">
      <c r="E71"/>
      <c r="F71"/>
    </row>
    <row r="72" spans="5:6" x14ac:dyDescent="0.2">
      <c r="E72"/>
      <c r="F72"/>
    </row>
    <row r="73" spans="5:6" x14ac:dyDescent="0.2">
      <c r="E73"/>
      <c r="F73"/>
    </row>
    <row r="74" spans="5:6" x14ac:dyDescent="0.2">
      <c r="E74"/>
      <c r="F74"/>
    </row>
    <row r="75" spans="5:6" x14ac:dyDescent="0.2">
      <c r="E75"/>
      <c r="F75"/>
    </row>
    <row r="76" spans="5:6" x14ac:dyDescent="0.2">
      <c r="E76"/>
      <c r="F76"/>
    </row>
    <row r="77" spans="5:6" x14ac:dyDescent="0.2">
      <c r="E77"/>
      <c r="F77"/>
    </row>
    <row r="78" spans="5:6" x14ac:dyDescent="0.2">
      <c r="E78"/>
      <c r="F78"/>
    </row>
    <row r="79" spans="5:6" x14ac:dyDescent="0.2">
      <c r="E79"/>
      <c r="F79"/>
    </row>
    <row r="80" spans="5:6" x14ac:dyDescent="0.2">
      <c r="E80"/>
      <c r="F80"/>
    </row>
    <row r="81" spans="5:6" x14ac:dyDescent="0.2">
      <c r="E81"/>
      <c r="F81"/>
    </row>
    <row r="82" spans="5:6" x14ac:dyDescent="0.2">
      <c r="E82"/>
      <c r="F82"/>
    </row>
    <row r="83" spans="5:6" x14ac:dyDescent="0.2">
      <c r="E83"/>
      <c r="F83"/>
    </row>
    <row r="84" spans="5:6" x14ac:dyDescent="0.2">
      <c r="E84"/>
      <c r="F84"/>
    </row>
    <row r="85" spans="5:6" x14ac:dyDescent="0.2">
      <c r="E85"/>
      <c r="F85"/>
    </row>
    <row r="86" spans="5:6" x14ac:dyDescent="0.2">
      <c r="E86"/>
      <c r="F86"/>
    </row>
    <row r="87" spans="5:6" x14ac:dyDescent="0.2">
      <c r="E87"/>
      <c r="F87"/>
    </row>
    <row r="88" spans="5:6" x14ac:dyDescent="0.2">
      <c r="E88"/>
      <c r="F88"/>
    </row>
    <row r="89" spans="5:6" x14ac:dyDescent="0.2">
      <c r="E89"/>
      <c r="F89"/>
    </row>
    <row r="90" spans="5:6" x14ac:dyDescent="0.2">
      <c r="E90"/>
      <c r="F90"/>
    </row>
    <row r="91" spans="5:6" x14ac:dyDescent="0.2">
      <c r="E91"/>
      <c r="F91"/>
    </row>
    <row r="92" spans="5:6" x14ac:dyDescent="0.2">
      <c r="E92"/>
      <c r="F92"/>
    </row>
    <row r="93" spans="5:6" x14ac:dyDescent="0.2">
      <c r="E93"/>
      <c r="F93"/>
    </row>
    <row r="94" spans="5:6" x14ac:dyDescent="0.2">
      <c r="E94"/>
      <c r="F94"/>
    </row>
    <row r="95" spans="5:6" x14ac:dyDescent="0.2">
      <c r="E95"/>
      <c r="F95"/>
    </row>
    <row r="96" spans="5:6" x14ac:dyDescent="0.2">
      <c r="E96"/>
      <c r="F96"/>
    </row>
    <row r="97" spans="5:6" x14ac:dyDescent="0.2">
      <c r="E97"/>
      <c r="F97"/>
    </row>
    <row r="98" spans="5:6" x14ac:dyDescent="0.2">
      <c r="E98"/>
      <c r="F98"/>
    </row>
    <row r="99" spans="5:6" x14ac:dyDescent="0.2">
      <c r="E99"/>
      <c r="F99"/>
    </row>
    <row r="100" spans="5:6" x14ac:dyDescent="0.2">
      <c r="E100"/>
      <c r="F100"/>
    </row>
    <row r="101" spans="5:6" x14ac:dyDescent="0.2">
      <c r="E101"/>
      <c r="F101"/>
    </row>
    <row r="102" spans="5:6" x14ac:dyDescent="0.2">
      <c r="E102"/>
      <c r="F102"/>
    </row>
    <row r="103" spans="5:6" x14ac:dyDescent="0.2">
      <c r="E103"/>
      <c r="F103"/>
    </row>
    <row r="104" spans="5:6" x14ac:dyDescent="0.2">
      <c r="E104"/>
      <c r="F104"/>
    </row>
    <row r="105" spans="5:6" x14ac:dyDescent="0.2">
      <c r="E105"/>
      <c r="F105"/>
    </row>
    <row r="106" spans="5:6" x14ac:dyDescent="0.2">
      <c r="E106"/>
      <c r="F106"/>
    </row>
    <row r="107" spans="5:6" x14ac:dyDescent="0.2">
      <c r="E107"/>
      <c r="F107"/>
    </row>
    <row r="108" spans="5:6" x14ac:dyDescent="0.2">
      <c r="E108"/>
      <c r="F108"/>
    </row>
    <row r="109" spans="5:6" x14ac:dyDescent="0.2">
      <c r="E109"/>
      <c r="F109"/>
    </row>
    <row r="110" spans="5:6" x14ac:dyDescent="0.2">
      <c r="E110"/>
      <c r="F110"/>
    </row>
    <row r="111" spans="5:6" x14ac:dyDescent="0.2">
      <c r="E111"/>
      <c r="F111"/>
    </row>
    <row r="112" spans="5:6" x14ac:dyDescent="0.2">
      <c r="E112"/>
      <c r="F112"/>
    </row>
    <row r="113" spans="5:6" x14ac:dyDescent="0.2">
      <c r="E113"/>
      <c r="F113"/>
    </row>
    <row r="114" spans="5:6" x14ac:dyDescent="0.2">
      <c r="E114"/>
      <c r="F114"/>
    </row>
    <row r="115" spans="5:6" x14ac:dyDescent="0.2">
      <c r="E115"/>
      <c r="F115"/>
    </row>
    <row r="116" spans="5:6" x14ac:dyDescent="0.2">
      <c r="E116"/>
      <c r="F116"/>
    </row>
    <row r="117" spans="5:6" x14ac:dyDescent="0.2">
      <c r="E117"/>
      <c r="F117"/>
    </row>
    <row r="118" spans="5:6" x14ac:dyDescent="0.2">
      <c r="E118"/>
      <c r="F118"/>
    </row>
    <row r="119" spans="5:6" x14ac:dyDescent="0.2">
      <c r="E119"/>
      <c r="F119"/>
    </row>
    <row r="120" spans="5:6" x14ac:dyDescent="0.2">
      <c r="E120"/>
      <c r="F120"/>
    </row>
    <row r="121" spans="5:6" x14ac:dyDescent="0.2">
      <c r="E121"/>
      <c r="F121"/>
    </row>
    <row r="122" spans="5:6" x14ac:dyDescent="0.2">
      <c r="E122"/>
      <c r="F122"/>
    </row>
    <row r="123" spans="5:6" x14ac:dyDescent="0.2">
      <c r="E123"/>
      <c r="F123"/>
    </row>
    <row r="124" spans="5:6" x14ac:dyDescent="0.2">
      <c r="E124"/>
      <c r="F124"/>
    </row>
    <row r="125" spans="5:6" x14ac:dyDescent="0.2">
      <c r="E125"/>
      <c r="F125"/>
    </row>
    <row r="126" spans="5:6" x14ac:dyDescent="0.2">
      <c r="E126"/>
      <c r="F126"/>
    </row>
    <row r="127" spans="5:6" x14ac:dyDescent="0.2">
      <c r="E127"/>
      <c r="F127"/>
    </row>
    <row r="128" spans="5:6" x14ac:dyDescent="0.2">
      <c r="E128"/>
      <c r="F128"/>
    </row>
    <row r="129" spans="5:6" x14ac:dyDescent="0.2">
      <c r="E129"/>
      <c r="F129"/>
    </row>
    <row r="130" spans="5:6" x14ac:dyDescent="0.2">
      <c r="E130"/>
      <c r="F130"/>
    </row>
    <row r="131" spans="5:6" x14ac:dyDescent="0.2">
      <c r="E131"/>
      <c r="F131"/>
    </row>
    <row r="132" spans="5:6" x14ac:dyDescent="0.2">
      <c r="E132"/>
      <c r="F132"/>
    </row>
    <row r="133" spans="5:6" x14ac:dyDescent="0.2">
      <c r="E133"/>
      <c r="F133"/>
    </row>
    <row r="134" spans="5:6" x14ac:dyDescent="0.2">
      <c r="E134"/>
      <c r="F134"/>
    </row>
    <row r="135" spans="5:6" x14ac:dyDescent="0.2">
      <c r="E135"/>
      <c r="F135"/>
    </row>
    <row r="136" spans="5:6" x14ac:dyDescent="0.2">
      <c r="E136"/>
      <c r="F136"/>
    </row>
    <row r="137" spans="5:6" x14ac:dyDescent="0.2">
      <c r="E137"/>
      <c r="F137"/>
    </row>
    <row r="138" spans="5:6" x14ac:dyDescent="0.2">
      <c r="E138"/>
      <c r="F138"/>
    </row>
    <row r="139" spans="5:6" x14ac:dyDescent="0.2">
      <c r="E139"/>
      <c r="F139"/>
    </row>
    <row r="140" spans="5:6" x14ac:dyDescent="0.2">
      <c r="E140"/>
      <c r="F140"/>
    </row>
    <row r="141" spans="5:6" x14ac:dyDescent="0.2">
      <c r="E141"/>
      <c r="F141"/>
    </row>
    <row r="142" spans="5:6" x14ac:dyDescent="0.2">
      <c r="E142"/>
      <c r="F142"/>
    </row>
    <row r="143" spans="5:6" x14ac:dyDescent="0.2">
      <c r="E143"/>
      <c r="F143"/>
    </row>
    <row r="144" spans="5:6" x14ac:dyDescent="0.2">
      <c r="E144"/>
      <c r="F144"/>
    </row>
    <row r="145" spans="5:6" x14ac:dyDescent="0.2">
      <c r="E145"/>
      <c r="F145"/>
    </row>
    <row r="146" spans="5:6" x14ac:dyDescent="0.2">
      <c r="E146"/>
      <c r="F146"/>
    </row>
    <row r="147" spans="5:6" x14ac:dyDescent="0.2">
      <c r="E147"/>
      <c r="F147"/>
    </row>
    <row r="148" spans="5:6" x14ac:dyDescent="0.2">
      <c r="E148"/>
      <c r="F148"/>
    </row>
    <row r="149" spans="5:6" x14ac:dyDescent="0.2">
      <c r="E149"/>
      <c r="F149"/>
    </row>
    <row r="150" spans="5:6" x14ac:dyDescent="0.2">
      <c r="E150"/>
      <c r="F150"/>
    </row>
    <row r="151" spans="5:6" x14ac:dyDescent="0.2">
      <c r="E151"/>
      <c r="F151"/>
    </row>
    <row r="152" spans="5:6" x14ac:dyDescent="0.2">
      <c r="E152"/>
      <c r="F152"/>
    </row>
    <row r="153" spans="5:6" x14ac:dyDescent="0.2">
      <c r="E153"/>
      <c r="F153"/>
    </row>
    <row r="154" spans="5:6" x14ac:dyDescent="0.2">
      <c r="E154"/>
      <c r="F154"/>
    </row>
    <row r="155" spans="5:6" x14ac:dyDescent="0.2">
      <c r="E155"/>
      <c r="F155"/>
    </row>
    <row r="156" spans="5:6" x14ac:dyDescent="0.2">
      <c r="E156"/>
      <c r="F156"/>
    </row>
    <row r="157" spans="5:6" x14ac:dyDescent="0.2">
      <c r="E157"/>
      <c r="F157"/>
    </row>
    <row r="158" spans="5:6" x14ac:dyDescent="0.2">
      <c r="E158"/>
      <c r="F158"/>
    </row>
    <row r="159" spans="5:6" x14ac:dyDescent="0.2">
      <c r="E159"/>
      <c r="F159"/>
    </row>
    <row r="160" spans="5:6" x14ac:dyDescent="0.2">
      <c r="E160"/>
      <c r="F160"/>
    </row>
    <row r="161" spans="5:6" x14ac:dyDescent="0.2">
      <c r="E161"/>
      <c r="F161"/>
    </row>
    <row r="162" spans="5:6" x14ac:dyDescent="0.2">
      <c r="E162"/>
      <c r="F162"/>
    </row>
    <row r="163" spans="5:6" x14ac:dyDescent="0.2">
      <c r="E163"/>
      <c r="F163"/>
    </row>
    <row r="164" spans="5:6" x14ac:dyDescent="0.2">
      <c r="E164"/>
      <c r="F164"/>
    </row>
    <row r="165" spans="5:6" x14ac:dyDescent="0.2">
      <c r="E165"/>
      <c r="F165"/>
    </row>
    <row r="166" spans="5:6" x14ac:dyDescent="0.2">
      <c r="E166"/>
      <c r="F166"/>
    </row>
    <row r="167" spans="5:6" x14ac:dyDescent="0.2">
      <c r="E167"/>
      <c r="F167"/>
    </row>
    <row r="168" spans="5:6" x14ac:dyDescent="0.2">
      <c r="E168"/>
      <c r="F168"/>
    </row>
    <row r="169" spans="5:6" x14ac:dyDescent="0.2">
      <c r="E169"/>
      <c r="F169"/>
    </row>
    <row r="170" spans="5:6" x14ac:dyDescent="0.2">
      <c r="E170"/>
      <c r="F170"/>
    </row>
    <row r="171" spans="5:6" x14ac:dyDescent="0.2">
      <c r="E171"/>
      <c r="F171"/>
    </row>
    <row r="172" spans="5:6" x14ac:dyDescent="0.2">
      <c r="E172"/>
      <c r="F172"/>
    </row>
    <row r="173" spans="5:6" x14ac:dyDescent="0.2">
      <c r="E173"/>
      <c r="F173"/>
    </row>
    <row r="174" spans="5:6" x14ac:dyDescent="0.2">
      <c r="E174"/>
      <c r="F174"/>
    </row>
    <row r="175" spans="5:6" x14ac:dyDescent="0.2">
      <c r="E175"/>
      <c r="F175"/>
    </row>
    <row r="176" spans="5:6" x14ac:dyDescent="0.2">
      <c r="E176"/>
      <c r="F176"/>
    </row>
    <row r="177" spans="5:6" x14ac:dyDescent="0.2">
      <c r="E177"/>
      <c r="F177"/>
    </row>
    <row r="178" spans="5:6" x14ac:dyDescent="0.2">
      <c r="E178"/>
      <c r="F178"/>
    </row>
    <row r="179" spans="5:6" x14ac:dyDescent="0.2">
      <c r="E179"/>
      <c r="F179"/>
    </row>
    <row r="180" spans="5:6" x14ac:dyDescent="0.2">
      <c r="E180"/>
      <c r="F180"/>
    </row>
    <row r="181" spans="5:6" x14ac:dyDescent="0.2">
      <c r="E181"/>
      <c r="F181"/>
    </row>
    <row r="182" spans="5:6" x14ac:dyDescent="0.2">
      <c r="E182"/>
      <c r="F182"/>
    </row>
    <row r="183" spans="5:6" x14ac:dyDescent="0.2">
      <c r="E183"/>
      <c r="F183"/>
    </row>
    <row r="184" spans="5:6" x14ac:dyDescent="0.2">
      <c r="E184"/>
      <c r="F184"/>
    </row>
    <row r="185" spans="5:6" x14ac:dyDescent="0.2">
      <c r="E185"/>
      <c r="F185"/>
    </row>
    <row r="186" spans="5:6" x14ac:dyDescent="0.2">
      <c r="E186"/>
      <c r="F186"/>
    </row>
    <row r="187" spans="5:6" x14ac:dyDescent="0.2">
      <c r="E187"/>
      <c r="F187"/>
    </row>
    <row r="188" spans="5:6" x14ac:dyDescent="0.2">
      <c r="E188"/>
      <c r="F188"/>
    </row>
    <row r="189" spans="5:6" x14ac:dyDescent="0.2">
      <c r="E189"/>
      <c r="F189"/>
    </row>
    <row r="190" spans="5:6" x14ac:dyDescent="0.2">
      <c r="E190"/>
      <c r="F190"/>
    </row>
    <row r="191" spans="5:6" x14ac:dyDescent="0.2">
      <c r="E191"/>
      <c r="F191"/>
    </row>
    <row r="192" spans="5:6" x14ac:dyDescent="0.2">
      <c r="E192"/>
      <c r="F192"/>
    </row>
    <row r="193" spans="5:6" x14ac:dyDescent="0.2">
      <c r="E193"/>
      <c r="F193"/>
    </row>
    <row r="194" spans="5:6" x14ac:dyDescent="0.2">
      <c r="E194"/>
      <c r="F194"/>
    </row>
    <row r="195" spans="5:6" x14ac:dyDescent="0.2">
      <c r="E195"/>
      <c r="F195"/>
    </row>
    <row r="196" spans="5:6" x14ac:dyDescent="0.2">
      <c r="E196"/>
      <c r="F196"/>
    </row>
    <row r="197" spans="5:6" x14ac:dyDescent="0.2">
      <c r="E197"/>
      <c r="F197"/>
    </row>
    <row r="198" spans="5:6" x14ac:dyDescent="0.2">
      <c r="E198"/>
      <c r="F198"/>
    </row>
    <row r="199" spans="5:6" x14ac:dyDescent="0.2">
      <c r="E199"/>
      <c r="F199"/>
    </row>
    <row r="200" spans="5:6" x14ac:dyDescent="0.2">
      <c r="E200"/>
      <c r="F200"/>
    </row>
    <row r="201" spans="5:6" x14ac:dyDescent="0.2">
      <c r="E201"/>
      <c r="F201"/>
    </row>
    <row r="202" spans="5:6" x14ac:dyDescent="0.2">
      <c r="E202"/>
      <c r="F202"/>
    </row>
    <row r="203" spans="5:6" x14ac:dyDescent="0.2">
      <c r="E203"/>
      <c r="F203"/>
    </row>
    <row r="204" spans="5:6" x14ac:dyDescent="0.2">
      <c r="E204"/>
      <c r="F204"/>
    </row>
    <row r="205" spans="5:6" x14ac:dyDescent="0.2">
      <c r="E205"/>
      <c r="F205"/>
    </row>
    <row r="206" spans="5:6" x14ac:dyDescent="0.2">
      <c r="E206"/>
      <c r="F206"/>
    </row>
    <row r="207" spans="5:6" x14ac:dyDescent="0.2">
      <c r="E207"/>
      <c r="F207"/>
    </row>
    <row r="208" spans="5:6" x14ac:dyDescent="0.2">
      <c r="E208"/>
      <c r="F208"/>
    </row>
    <row r="209" spans="5:6" x14ac:dyDescent="0.2">
      <c r="E209"/>
      <c r="F209"/>
    </row>
    <row r="210" spans="5:6" x14ac:dyDescent="0.2">
      <c r="E210"/>
      <c r="F210"/>
    </row>
    <row r="211" spans="5:6" x14ac:dyDescent="0.2">
      <c r="E211"/>
      <c r="F211"/>
    </row>
    <row r="212" spans="5:6" x14ac:dyDescent="0.2">
      <c r="E212"/>
      <c r="F212"/>
    </row>
    <row r="213" spans="5:6" x14ac:dyDescent="0.2">
      <c r="E213"/>
      <c r="F213"/>
    </row>
    <row r="214" spans="5:6" x14ac:dyDescent="0.2">
      <c r="E214"/>
      <c r="F214"/>
    </row>
    <row r="215" spans="5:6" x14ac:dyDescent="0.2">
      <c r="E215"/>
      <c r="F215"/>
    </row>
    <row r="216" spans="5:6" x14ac:dyDescent="0.2">
      <c r="E216"/>
      <c r="F216"/>
    </row>
    <row r="217" spans="5:6" x14ac:dyDescent="0.2">
      <c r="E217"/>
      <c r="F217"/>
    </row>
    <row r="218" spans="5:6" x14ac:dyDescent="0.2">
      <c r="E218"/>
      <c r="F218"/>
    </row>
    <row r="219" spans="5:6" x14ac:dyDescent="0.2">
      <c r="E219"/>
      <c r="F219"/>
    </row>
    <row r="220" spans="5:6" x14ac:dyDescent="0.2">
      <c r="E220"/>
      <c r="F220"/>
    </row>
    <row r="221" spans="5:6" x14ac:dyDescent="0.2">
      <c r="E221"/>
      <c r="F221"/>
    </row>
    <row r="222" spans="5:6" x14ac:dyDescent="0.2">
      <c r="E222"/>
      <c r="F222"/>
    </row>
    <row r="223" spans="5:6" x14ac:dyDescent="0.2">
      <c r="E223"/>
      <c r="F223"/>
    </row>
    <row r="224" spans="5:6" x14ac:dyDescent="0.2">
      <c r="E224"/>
      <c r="F224"/>
    </row>
    <row r="225" spans="5:6" x14ac:dyDescent="0.2">
      <c r="E225"/>
      <c r="F225"/>
    </row>
    <row r="226" spans="5:6" x14ac:dyDescent="0.2">
      <c r="E226"/>
      <c r="F226"/>
    </row>
    <row r="227" spans="5:6" x14ac:dyDescent="0.2">
      <c r="E227"/>
      <c r="F227"/>
    </row>
    <row r="228" spans="5:6" x14ac:dyDescent="0.2">
      <c r="E228"/>
      <c r="F228"/>
    </row>
    <row r="229" spans="5:6" x14ac:dyDescent="0.2">
      <c r="E229"/>
      <c r="F229"/>
    </row>
    <row r="230" spans="5:6" x14ac:dyDescent="0.2">
      <c r="E230"/>
      <c r="F230"/>
    </row>
    <row r="231" spans="5:6" x14ac:dyDescent="0.2">
      <c r="E231"/>
      <c r="F231"/>
    </row>
    <row r="232" spans="5:6" x14ac:dyDescent="0.2">
      <c r="E232"/>
      <c r="F232"/>
    </row>
    <row r="233" spans="5:6" x14ac:dyDescent="0.2">
      <c r="E233"/>
      <c r="F233"/>
    </row>
    <row r="234" spans="5:6" x14ac:dyDescent="0.2">
      <c r="E234"/>
      <c r="F234"/>
    </row>
    <row r="235" spans="5:6" x14ac:dyDescent="0.2">
      <c r="E235"/>
      <c r="F235"/>
    </row>
    <row r="236" spans="5:6" x14ac:dyDescent="0.2">
      <c r="E236"/>
      <c r="F236"/>
    </row>
    <row r="237" spans="5:6" x14ac:dyDescent="0.2">
      <c r="E237"/>
      <c r="F237"/>
    </row>
    <row r="238" spans="5:6" x14ac:dyDescent="0.2">
      <c r="E238"/>
      <c r="F238"/>
    </row>
    <row r="239" spans="5:6" x14ac:dyDescent="0.2">
      <c r="E239"/>
      <c r="F239"/>
    </row>
    <row r="240" spans="5:6" x14ac:dyDescent="0.2">
      <c r="E240"/>
      <c r="F240"/>
    </row>
    <row r="241" spans="5:6" x14ac:dyDescent="0.2">
      <c r="E241"/>
      <c r="F241"/>
    </row>
    <row r="242" spans="5:6" x14ac:dyDescent="0.2">
      <c r="E242"/>
      <c r="F242"/>
    </row>
    <row r="243" spans="5:6" x14ac:dyDescent="0.2">
      <c r="E243"/>
      <c r="F243"/>
    </row>
    <row r="244" spans="5:6" x14ac:dyDescent="0.2">
      <c r="E244"/>
      <c r="F244"/>
    </row>
    <row r="245" spans="5:6" x14ac:dyDescent="0.2">
      <c r="E245"/>
      <c r="F245"/>
    </row>
    <row r="246" spans="5:6" x14ac:dyDescent="0.2">
      <c r="E246"/>
      <c r="F246"/>
    </row>
    <row r="247" spans="5:6" x14ac:dyDescent="0.2">
      <c r="E247"/>
      <c r="F247"/>
    </row>
    <row r="248" spans="5:6" x14ac:dyDescent="0.2">
      <c r="E248"/>
      <c r="F248"/>
    </row>
    <row r="249" spans="5:6" x14ac:dyDescent="0.2">
      <c r="E249"/>
      <c r="F249"/>
    </row>
    <row r="250" spans="5:6" x14ac:dyDescent="0.2">
      <c r="E250"/>
      <c r="F250"/>
    </row>
    <row r="251" spans="5:6" x14ac:dyDescent="0.2">
      <c r="E251"/>
      <c r="F251"/>
    </row>
    <row r="252" spans="5:6" x14ac:dyDescent="0.2">
      <c r="E252"/>
      <c r="F252"/>
    </row>
    <row r="253" spans="5:6" x14ac:dyDescent="0.2">
      <c r="E253"/>
      <c r="F253"/>
    </row>
    <row r="254" spans="5:6" x14ac:dyDescent="0.2">
      <c r="E254"/>
      <c r="F254"/>
    </row>
    <row r="255" spans="5:6" x14ac:dyDescent="0.2">
      <c r="E255"/>
      <c r="F255"/>
    </row>
    <row r="256" spans="5:6" x14ac:dyDescent="0.2">
      <c r="E256"/>
      <c r="F256"/>
    </row>
    <row r="257" spans="5:6" x14ac:dyDescent="0.2">
      <c r="E257"/>
      <c r="F257"/>
    </row>
    <row r="258" spans="5:6" x14ac:dyDescent="0.2">
      <c r="E258"/>
      <c r="F258"/>
    </row>
    <row r="259" spans="5:6" x14ac:dyDescent="0.2">
      <c r="E259"/>
      <c r="F259"/>
    </row>
    <row r="260" spans="5:6" x14ac:dyDescent="0.2">
      <c r="E260"/>
      <c r="F260"/>
    </row>
    <row r="261" spans="5:6" x14ac:dyDescent="0.2">
      <c r="E261"/>
      <c r="F261"/>
    </row>
    <row r="262" spans="5:6" x14ac:dyDescent="0.2">
      <c r="E262"/>
      <c r="F262"/>
    </row>
    <row r="263" spans="5:6" x14ac:dyDescent="0.2">
      <c r="E263"/>
      <c r="F263"/>
    </row>
    <row r="264" spans="5:6" x14ac:dyDescent="0.2">
      <c r="E264"/>
      <c r="F264"/>
    </row>
    <row r="265" spans="5:6" x14ac:dyDescent="0.2">
      <c r="E265"/>
      <c r="F265"/>
    </row>
    <row r="266" spans="5:6" x14ac:dyDescent="0.2">
      <c r="E266"/>
      <c r="F266"/>
    </row>
    <row r="267" spans="5:6" x14ac:dyDescent="0.2">
      <c r="E267"/>
      <c r="F267"/>
    </row>
    <row r="268" spans="5:6" x14ac:dyDescent="0.2">
      <c r="E268"/>
      <c r="F268"/>
    </row>
    <row r="269" spans="5:6" x14ac:dyDescent="0.2">
      <c r="E269"/>
      <c r="F269"/>
    </row>
    <row r="270" spans="5:6" x14ac:dyDescent="0.2">
      <c r="E270"/>
      <c r="F270"/>
    </row>
    <row r="271" spans="5:6" x14ac:dyDescent="0.2">
      <c r="E271"/>
      <c r="F271"/>
    </row>
    <row r="272" spans="5:6" x14ac:dyDescent="0.2">
      <c r="E272"/>
      <c r="F272"/>
    </row>
    <row r="273" spans="5:6" x14ac:dyDescent="0.2">
      <c r="E273"/>
      <c r="F273"/>
    </row>
    <row r="274" spans="5:6" x14ac:dyDescent="0.2">
      <c r="E274"/>
      <c r="F274"/>
    </row>
    <row r="275" spans="5:6" x14ac:dyDescent="0.2">
      <c r="E275"/>
      <c r="F275"/>
    </row>
    <row r="276" spans="5:6" x14ac:dyDescent="0.2">
      <c r="E276"/>
      <c r="F276"/>
    </row>
    <row r="277" spans="5:6" x14ac:dyDescent="0.2">
      <c r="E277"/>
      <c r="F277"/>
    </row>
    <row r="278" spans="5:6" x14ac:dyDescent="0.2">
      <c r="E278"/>
      <c r="F278"/>
    </row>
    <row r="279" spans="5:6" x14ac:dyDescent="0.2">
      <c r="E279"/>
      <c r="F279"/>
    </row>
    <row r="280" spans="5:6" x14ac:dyDescent="0.2">
      <c r="E280"/>
      <c r="F280"/>
    </row>
    <row r="281" spans="5:6" x14ac:dyDescent="0.2">
      <c r="E281"/>
      <c r="F281"/>
    </row>
    <row r="282" spans="5:6" x14ac:dyDescent="0.2">
      <c r="E282"/>
      <c r="F282"/>
    </row>
    <row r="283" spans="5:6" x14ac:dyDescent="0.2">
      <c r="E283"/>
      <c r="F283"/>
    </row>
    <row r="284" spans="5:6" x14ac:dyDescent="0.2">
      <c r="E284"/>
      <c r="F284"/>
    </row>
    <row r="285" spans="5:6" x14ac:dyDescent="0.2">
      <c r="E285"/>
      <c r="F285"/>
    </row>
    <row r="286" spans="5:6" x14ac:dyDescent="0.2">
      <c r="E286"/>
      <c r="F286"/>
    </row>
    <row r="287" spans="5:6" x14ac:dyDescent="0.2">
      <c r="E287"/>
      <c r="F287"/>
    </row>
    <row r="288" spans="5:6" x14ac:dyDescent="0.2">
      <c r="E288"/>
      <c r="F288"/>
    </row>
    <row r="289" spans="5:6" x14ac:dyDescent="0.2">
      <c r="E289"/>
      <c r="F289"/>
    </row>
    <row r="290" spans="5:6" x14ac:dyDescent="0.2">
      <c r="E290"/>
      <c r="F290"/>
    </row>
    <row r="291" spans="5:6" x14ac:dyDescent="0.2">
      <c r="E291"/>
      <c r="F291"/>
    </row>
    <row r="292" spans="5:6" x14ac:dyDescent="0.2">
      <c r="E292"/>
      <c r="F292"/>
    </row>
    <row r="293" spans="5:6" x14ac:dyDescent="0.2">
      <c r="E293"/>
      <c r="F293"/>
    </row>
    <row r="294" spans="5:6" x14ac:dyDescent="0.2">
      <c r="E294"/>
      <c r="F294"/>
    </row>
    <row r="295" spans="5:6" x14ac:dyDescent="0.2">
      <c r="E295"/>
      <c r="F295"/>
    </row>
    <row r="296" spans="5:6" x14ac:dyDescent="0.2">
      <c r="E296"/>
      <c r="F296"/>
    </row>
    <row r="297" spans="5:6" x14ac:dyDescent="0.2">
      <c r="E297"/>
      <c r="F297"/>
    </row>
    <row r="298" spans="5:6" x14ac:dyDescent="0.2">
      <c r="E298"/>
      <c r="F298"/>
    </row>
    <row r="299" spans="5:6" x14ac:dyDescent="0.2">
      <c r="E299"/>
      <c r="F299"/>
    </row>
    <row r="300" spans="5:6" x14ac:dyDescent="0.2">
      <c r="E300"/>
      <c r="F300"/>
    </row>
    <row r="301" spans="5:6" x14ac:dyDescent="0.2">
      <c r="E301"/>
      <c r="F301"/>
    </row>
    <row r="302" spans="5:6" x14ac:dyDescent="0.2">
      <c r="E302"/>
      <c r="F302"/>
    </row>
    <row r="303" spans="5:6" x14ac:dyDescent="0.2">
      <c r="E303"/>
      <c r="F303"/>
    </row>
    <row r="304" spans="5:6" x14ac:dyDescent="0.2">
      <c r="E304"/>
      <c r="F304"/>
    </row>
    <row r="305" spans="5:6" x14ac:dyDescent="0.2">
      <c r="E305"/>
      <c r="F305"/>
    </row>
    <row r="306" spans="5:6" x14ac:dyDescent="0.2">
      <c r="E306"/>
      <c r="F306"/>
    </row>
    <row r="307" spans="5:6" x14ac:dyDescent="0.2">
      <c r="E307"/>
      <c r="F307"/>
    </row>
    <row r="308" spans="5:6" x14ac:dyDescent="0.2">
      <c r="E308"/>
      <c r="F308"/>
    </row>
    <row r="309" spans="5:6" x14ac:dyDescent="0.2">
      <c r="E309"/>
      <c r="F309"/>
    </row>
    <row r="310" spans="5:6" x14ac:dyDescent="0.2">
      <c r="E310"/>
      <c r="F310"/>
    </row>
    <row r="311" spans="5:6" x14ac:dyDescent="0.2">
      <c r="E311"/>
      <c r="F311"/>
    </row>
    <row r="312" spans="5:6" x14ac:dyDescent="0.2">
      <c r="E312"/>
      <c r="F312"/>
    </row>
    <row r="313" spans="5:6" x14ac:dyDescent="0.2">
      <c r="E313"/>
      <c r="F313"/>
    </row>
    <row r="314" spans="5:6" x14ac:dyDescent="0.2">
      <c r="E314"/>
      <c r="F314"/>
    </row>
    <row r="315" spans="5:6" x14ac:dyDescent="0.2">
      <c r="E315"/>
      <c r="F315"/>
    </row>
    <row r="316" spans="5:6" x14ac:dyDescent="0.2">
      <c r="E316"/>
      <c r="F316"/>
    </row>
    <row r="317" spans="5:6" x14ac:dyDescent="0.2">
      <c r="E317"/>
      <c r="F317"/>
    </row>
    <row r="318" spans="5:6" x14ac:dyDescent="0.2">
      <c r="E318"/>
      <c r="F318"/>
    </row>
    <row r="319" spans="5:6" x14ac:dyDescent="0.2">
      <c r="E319"/>
      <c r="F319"/>
    </row>
    <row r="320" spans="5:6" x14ac:dyDescent="0.2">
      <c r="E320"/>
      <c r="F320"/>
    </row>
    <row r="321" spans="5:6" x14ac:dyDescent="0.2">
      <c r="E321"/>
      <c r="F321"/>
    </row>
    <row r="322" spans="5:6" x14ac:dyDescent="0.2">
      <c r="E322"/>
      <c r="F322"/>
    </row>
    <row r="323" spans="5:6" x14ac:dyDescent="0.2">
      <c r="E323"/>
      <c r="F323"/>
    </row>
    <row r="324" spans="5:6" x14ac:dyDescent="0.2">
      <c r="E324"/>
      <c r="F324"/>
    </row>
    <row r="325" spans="5:6" x14ac:dyDescent="0.2">
      <c r="E325"/>
      <c r="F325"/>
    </row>
    <row r="326" spans="5:6" x14ac:dyDescent="0.2">
      <c r="E326"/>
      <c r="F326"/>
    </row>
    <row r="327" spans="5:6" x14ac:dyDescent="0.2">
      <c r="E327"/>
      <c r="F327"/>
    </row>
    <row r="328" spans="5:6" x14ac:dyDescent="0.2">
      <c r="E328"/>
      <c r="F328"/>
    </row>
    <row r="329" spans="5:6" x14ac:dyDescent="0.2">
      <c r="E329"/>
      <c r="F329"/>
    </row>
    <row r="330" spans="5:6" x14ac:dyDescent="0.2">
      <c r="E330"/>
      <c r="F330"/>
    </row>
    <row r="331" spans="5:6" x14ac:dyDescent="0.2">
      <c r="E331"/>
      <c r="F331"/>
    </row>
    <row r="332" spans="5:6" x14ac:dyDescent="0.2">
      <c r="E332"/>
      <c r="F332"/>
    </row>
    <row r="333" spans="5:6" x14ac:dyDescent="0.2">
      <c r="E333"/>
      <c r="F333"/>
    </row>
    <row r="334" spans="5:6" x14ac:dyDescent="0.2">
      <c r="E334"/>
      <c r="F334"/>
    </row>
    <row r="335" spans="5:6" x14ac:dyDescent="0.2">
      <c r="E335"/>
      <c r="F335"/>
    </row>
    <row r="336" spans="5:6" x14ac:dyDescent="0.2">
      <c r="E336"/>
      <c r="F336"/>
    </row>
    <row r="337" spans="5:6" x14ac:dyDescent="0.2">
      <c r="E337"/>
      <c r="F337"/>
    </row>
    <row r="338" spans="5:6" x14ac:dyDescent="0.2">
      <c r="E338"/>
      <c r="F338"/>
    </row>
    <row r="339" spans="5:6" x14ac:dyDescent="0.2">
      <c r="E339"/>
      <c r="F339"/>
    </row>
    <row r="340" spans="5:6" x14ac:dyDescent="0.2">
      <c r="E340"/>
      <c r="F340"/>
    </row>
    <row r="341" spans="5:6" x14ac:dyDescent="0.2">
      <c r="E341"/>
      <c r="F341"/>
    </row>
    <row r="342" spans="5:6" x14ac:dyDescent="0.2">
      <c r="E342"/>
      <c r="F342"/>
    </row>
    <row r="343" spans="5:6" x14ac:dyDescent="0.2">
      <c r="E343"/>
      <c r="F343"/>
    </row>
    <row r="344" spans="5:6" x14ac:dyDescent="0.2">
      <c r="E344"/>
      <c r="F344"/>
    </row>
    <row r="345" spans="5:6" x14ac:dyDescent="0.2">
      <c r="E345"/>
      <c r="F345"/>
    </row>
    <row r="346" spans="5:6" x14ac:dyDescent="0.2">
      <c r="E346"/>
      <c r="F346"/>
    </row>
    <row r="347" spans="5:6" x14ac:dyDescent="0.2">
      <c r="E347"/>
      <c r="F347"/>
    </row>
    <row r="348" spans="5:6" x14ac:dyDescent="0.2">
      <c r="E348"/>
      <c r="F348"/>
    </row>
    <row r="349" spans="5:6" x14ac:dyDescent="0.2">
      <c r="E349"/>
      <c r="F349"/>
    </row>
    <row r="350" spans="5:6" x14ac:dyDescent="0.2">
      <c r="E350"/>
      <c r="F350"/>
    </row>
    <row r="351" spans="5:6" x14ac:dyDescent="0.2">
      <c r="E351"/>
      <c r="F351"/>
    </row>
    <row r="352" spans="5:6" x14ac:dyDescent="0.2">
      <c r="E352"/>
      <c r="F352"/>
    </row>
    <row r="353" spans="5:6" x14ac:dyDescent="0.2">
      <c r="E353"/>
      <c r="F353"/>
    </row>
    <row r="354" spans="5:6" x14ac:dyDescent="0.2">
      <c r="E354"/>
      <c r="F354"/>
    </row>
    <row r="355" spans="5:6" x14ac:dyDescent="0.2">
      <c r="E355"/>
      <c r="F355"/>
    </row>
    <row r="356" spans="5:6" x14ac:dyDescent="0.2">
      <c r="E356"/>
      <c r="F356"/>
    </row>
    <row r="357" spans="5:6" x14ac:dyDescent="0.2">
      <c r="E357"/>
      <c r="F357"/>
    </row>
    <row r="358" spans="5:6" x14ac:dyDescent="0.2">
      <c r="E358"/>
      <c r="F358"/>
    </row>
    <row r="359" spans="5:6" x14ac:dyDescent="0.2">
      <c r="E359"/>
      <c r="F359"/>
    </row>
    <row r="360" spans="5:6" x14ac:dyDescent="0.2">
      <c r="E360"/>
      <c r="F360"/>
    </row>
    <row r="361" spans="5:6" x14ac:dyDescent="0.2">
      <c r="E361"/>
      <c r="F361"/>
    </row>
    <row r="362" spans="5:6" x14ac:dyDescent="0.2">
      <c r="E362"/>
      <c r="F362"/>
    </row>
    <row r="363" spans="5:6" x14ac:dyDescent="0.2">
      <c r="E363"/>
      <c r="F363"/>
    </row>
    <row r="364" spans="5:6" x14ac:dyDescent="0.2">
      <c r="E364"/>
      <c r="F364"/>
    </row>
    <row r="365" spans="5:6" x14ac:dyDescent="0.2">
      <c r="E365"/>
      <c r="F365"/>
    </row>
    <row r="366" spans="5:6" x14ac:dyDescent="0.2">
      <c r="E366"/>
      <c r="F366"/>
    </row>
    <row r="367" spans="5:6" x14ac:dyDescent="0.2">
      <c r="E367"/>
      <c r="F367"/>
    </row>
    <row r="368" spans="5:6" x14ac:dyDescent="0.2">
      <c r="E368"/>
      <c r="F368"/>
    </row>
    <row r="369" spans="5:6" x14ac:dyDescent="0.2">
      <c r="E369"/>
      <c r="F369"/>
    </row>
    <row r="370" spans="5:6" x14ac:dyDescent="0.2">
      <c r="E370"/>
      <c r="F370"/>
    </row>
    <row r="371" spans="5:6" x14ac:dyDescent="0.2">
      <c r="E371"/>
      <c r="F371"/>
    </row>
    <row r="372" spans="5:6" x14ac:dyDescent="0.2">
      <c r="E372"/>
      <c r="F372"/>
    </row>
    <row r="373" spans="5:6" x14ac:dyDescent="0.2">
      <c r="E373"/>
      <c r="F373"/>
    </row>
    <row r="374" spans="5:6" x14ac:dyDescent="0.2">
      <c r="E374"/>
      <c r="F374"/>
    </row>
    <row r="375" spans="5:6" x14ac:dyDescent="0.2">
      <c r="E375"/>
      <c r="F375"/>
    </row>
    <row r="376" spans="5:6" x14ac:dyDescent="0.2">
      <c r="E376"/>
      <c r="F376"/>
    </row>
    <row r="377" spans="5:6" x14ac:dyDescent="0.2">
      <c r="E377"/>
      <c r="F377"/>
    </row>
    <row r="378" spans="5:6" x14ac:dyDescent="0.2">
      <c r="E378"/>
      <c r="F378"/>
    </row>
    <row r="379" spans="5:6" x14ac:dyDescent="0.2">
      <c r="E379"/>
      <c r="F379"/>
    </row>
    <row r="380" spans="5:6" x14ac:dyDescent="0.2">
      <c r="E380"/>
      <c r="F380"/>
    </row>
    <row r="381" spans="5:6" x14ac:dyDescent="0.2">
      <c r="E381"/>
      <c r="F381"/>
    </row>
    <row r="382" spans="5:6" x14ac:dyDescent="0.2">
      <c r="E382"/>
      <c r="F382"/>
    </row>
    <row r="383" spans="5:6" x14ac:dyDescent="0.2">
      <c r="E383"/>
      <c r="F383"/>
    </row>
    <row r="384" spans="5:6" x14ac:dyDescent="0.2">
      <c r="E384"/>
      <c r="F384"/>
    </row>
    <row r="385" spans="5:6" x14ac:dyDescent="0.2">
      <c r="E385"/>
      <c r="F385"/>
    </row>
    <row r="386" spans="5:6" x14ac:dyDescent="0.2">
      <c r="E386"/>
      <c r="F386"/>
    </row>
    <row r="387" spans="5:6" x14ac:dyDescent="0.2">
      <c r="E387"/>
      <c r="F387"/>
    </row>
    <row r="388" spans="5:6" x14ac:dyDescent="0.2">
      <c r="E388"/>
      <c r="F388"/>
    </row>
    <row r="389" spans="5:6" x14ac:dyDescent="0.2">
      <c r="E389"/>
      <c r="F389"/>
    </row>
    <row r="390" spans="5:6" x14ac:dyDescent="0.2">
      <c r="E390"/>
      <c r="F390"/>
    </row>
    <row r="391" spans="5:6" x14ac:dyDescent="0.2">
      <c r="E391"/>
      <c r="F391"/>
    </row>
    <row r="392" spans="5:6" x14ac:dyDescent="0.2">
      <c r="E392"/>
      <c r="F392"/>
    </row>
    <row r="393" spans="5:6" x14ac:dyDescent="0.2">
      <c r="E393"/>
      <c r="F393"/>
    </row>
    <row r="394" spans="5:6" x14ac:dyDescent="0.2">
      <c r="E394"/>
      <c r="F394"/>
    </row>
    <row r="395" spans="5:6" x14ac:dyDescent="0.2">
      <c r="E395"/>
      <c r="F395"/>
    </row>
    <row r="396" spans="5:6" x14ac:dyDescent="0.2">
      <c r="E396"/>
      <c r="F396"/>
    </row>
    <row r="397" spans="5:6" x14ac:dyDescent="0.2">
      <c r="E397"/>
      <c r="F397"/>
    </row>
    <row r="398" spans="5:6" x14ac:dyDescent="0.2">
      <c r="E398"/>
      <c r="F398"/>
    </row>
    <row r="399" spans="5:6" x14ac:dyDescent="0.2">
      <c r="E399"/>
      <c r="F399"/>
    </row>
    <row r="400" spans="5:6" x14ac:dyDescent="0.2">
      <c r="E400"/>
      <c r="F400"/>
    </row>
    <row r="401" spans="5:6" x14ac:dyDescent="0.2">
      <c r="E401"/>
      <c r="F401"/>
    </row>
    <row r="402" spans="5:6" x14ac:dyDescent="0.2">
      <c r="E402"/>
      <c r="F402"/>
    </row>
    <row r="403" spans="5:6" x14ac:dyDescent="0.2">
      <c r="E403"/>
      <c r="F403"/>
    </row>
    <row r="404" spans="5:6" x14ac:dyDescent="0.2">
      <c r="E404"/>
      <c r="F404"/>
    </row>
    <row r="405" spans="5:6" x14ac:dyDescent="0.2">
      <c r="E405"/>
      <c r="F405"/>
    </row>
    <row r="406" spans="5:6" x14ac:dyDescent="0.2">
      <c r="E406"/>
      <c r="F406"/>
    </row>
    <row r="407" spans="5:6" x14ac:dyDescent="0.2">
      <c r="E407"/>
      <c r="F407"/>
    </row>
    <row r="408" spans="5:6" x14ac:dyDescent="0.2">
      <c r="E408"/>
      <c r="F408"/>
    </row>
    <row r="409" spans="5:6" x14ac:dyDescent="0.2">
      <c r="E409"/>
      <c r="F409"/>
    </row>
    <row r="410" spans="5:6" x14ac:dyDescent="0.2">
      <c r="E410"/>
      <c r="F410"/>
    </row>
    <row r="411" spans="5:6" x14ac:dyDescent="0.2">
      <c r="E411"/>
      <c r="F411"/>
    </row>
    <row r="412" spans="5:6" x14ac:dyDescent="0.2">
      <c r="E412"/>
      <c r="F412"/>
    </row>
    <row r="413" spans="5:6" x14ac:dyDescent="0.2">
      <c r="E413"/>
      <c r="F413"/>
    </row>
    <row r="414" spans="5:6" x14ac:dyDescent="0.2">
      <c r="E414"/>
      <c r="F414"/>
    </row>
    <row r="415" spans="5:6" x14ac:dyDescent="0.2">
      <c r="E415"/>
      <c r="F415"/>
    </row>
    <row r="416" spans="5:6" x14ac:dyDescent="0.2">
      <c r="E416"/>
      <c r="F416"/>
    </row>
    <row r="417" spans="5:6" x14ac:dyDescent="0.2">
      <c r="E417"/>
      <c r="F417"/>
    </row>
    <row r="418" spans="5:6" x14ac:dyDescent="0.2">
      <c r="E418"/>
      <c r="F418"/>
    </row>
    <row r="419" spans="5:6" x14ac:dyDescent="0.2">
      <c r="E419"/>
      <c r="F419"/>
    </row>
    <row r="420" spans="5:6" x14ac:dyDescent="0.2">
      <c r="E420"/>
      <c r="F420"/>
    </row>
    <row r="421" spans="5:6" x14ac:dyDescent="0.2">
      <c r="E421"/>
      <c r="F421"/>
    </row>
    <row r="422" spans="5:6" x14ac:dyDescent="0.2">
      <c r="E422"/>
      <c r="F422"/>
    </row>
    <row r="423" spans="5:6" x14ac:dyDescent="0.2">
      <c r="E423"/>
      <c r="F423"/>
    </row>
    <row r="424" spans="5:6" x14ac:dyDescent="0.2">
      <c r="E424"/>
      <c r="F424"/>
    </row>
    <row r="425" spans="5:6" x14ac:dyDescent="0.2">
      <c r="E425"/>
      <c r="F425"/>
    </row>
    <row r="426" spans="5:6" x14ac:dyDescent="0.2">
      <c r="E426"/>
      <c r="F426"/>
    </row>
    <row r="427" spans="5:6" x14ac:dyDescent="0.2">
      <c r="E427"/>
      <c r="F427"/>
    </row>
    <row r="428" spans="5:6" x14ac:dyDescent="0.2">
      <c r="E428"/>
      <c r="F428"/>
    </row>
    <row r="429" spans="5:6" x14ac:dyDescent="0.2">
      <c r="E429"/>
      <c r="F429"/>
    </row>
    <row r="430" spans="5:6" x14ac:dyDescent="0.2">
      <c r="E430"/>
      <c r="F430"/>
    </row>
    <row r="431" spans="5:6" x14ac:dyDescent="0.2">
      <c r="E431"/>
      <c r="F431"/>
    </row>
    <row r="432" spans="5:6" x14ac:dyDescent="0.2">
      <c r="E432"/>
      <c r="F432"/>
    </row>
    <row r="433" spans="5:6" x14ac:dyDescent="0.2">
      <c r="E433"/>
      <c r="F433"/>
    </row>
    <row r="434" spans="5:6" x14ac:dyDescent="0.2">
      <c r="E434"/>
      <c r="F434"/>
    </row>
    <row r="435" spans="5:6" x14ac:dyDescent="0.2">
      <c r="E435"/>
      <c r="F435"/>
    </row>
    <row r="436" spans="5:6" x14ac:dyDescent="0.2">
      <c r="E436"/>
      <c r="F436"/>
    </row>
    <row r="437" spans="5:6" x14ac:dyDescent="0.2">
      <c r="E437"/>
      <c r="F437"/>
    </row>
    <row r="438" spans="5:6" x14ac:dyDescent="0.2">
      <c r="E438"/>
      <c r="F438"/>
    </row>
    <row r="439" spans="5:6" x14ac:dyDescent="0.2">
      <c r="E439"/>
      <c r="F439"/>
    </row>
    <row r="440" spans="5:6" x14ac:dyDescent="0.2">
      <c r="E440"/>
      <c r="F440"/>
    </row>
    <row r="441" spans="5:6" x14ac:dyDescent="0.2">
      <c r="E441"/>
      <c r="F441"/>
    </row>
    <row r="442" spans="5:6" x14ac:dyDescent="0.2">
      <c r="E442"/>
      <c r="F442"/>
    </row>
    <row r="443" spans="5:6" x14ac:dyDescent="0.2">
      <c r="E443"/>
      <c r="F443"/>
    </row>
    <row r="444" spans="5:6" x14ac:dyDescent="0.2">
      <c r="E444"/>
      <c r="F444"/>
    </row>
    <row r="445" spans="5:6" x14ac:dyDescent="0.2">
      <c r="E445"/>
      <c r="F445"/>
    </row>
    <row r="446" spans="5:6" x14ac:dyDescent="0.2">
      <c r="E446"/>
      <c r="F446"/>
    </row>
    <row r="447" spans="5:6" x14ac:dyDescent="0.2">
      <c r="E447"/>
      <c r="F447"/>
    </row>
    <row r="448" spans="5:6" x14ac:dyDescent="0.2">
      <c r="E448"/>
      <c r="F448"/>
    </row>
    <row r="449" spans="5:6" x14ac:dyDescent="0.2">
      <c r="E449"/>
      <c r="F449"/>
    </row>
    <row r="450" spans="5:6" x14ac:dyDescent="0.2">
      <c r="E450"/>
      <c r="F450"/>
    </row>
    <row r="451" spans="5:6" x14ac:dyDescent="0.2">
      <c r="E451"/>
      <c r="F451"/>
    </row>
    <row r="452" spans="5:6" x14ac:dyDescent="0.2">
      <c r="E452"/>
      <c r="F452"/>
    </row>
    <row r="453" spans="5:6" x14ac:dyDescent="0.2">
      <c r="E453"/>
      <c r="F453"/>
    </row>
    <row r="454" spans="5:6" x14ac:dyDescent="0.2">
      <c r="E454"/>
      <c r="F454"/>
    </row>
    <row r="455" spans="5:6" x14ac:dyDescent="0.2">
      <c r="E455"/>
      <c r="F455"/>
    </row>
    <row r="456" spans="5:6" x14ac:dyDescent="0.2">
      <c r="E456"/>
      <c r="F456"/>
    </row>
    <row r="457" spans="5:6" x14ac:dyDescent="0.2">
      <c r="E457"/>
      <c r="F457"/>
    </row>
    <row r="458" spans="5:6" x14ac:dyDescent="0.2">
      <c r="E458"/>
      <c r="F458"/>
    </row>
    <row r="459" spans="5:6" x14ac:dyDescent="0.2">
      <c r="E459"/>
      <c r="F459"/>
    </row>
    <row r="460" spans="5:6" x14ac:dyDescent="0.2">
      <c r="E460"/>
      <c r="F460"/>
    </row>
    <row r="461" spans="5:6" x14ac:dyDescent="0.2">
      <c r="E461"/>
      <c r="F461"/>
    </row>
    <row r="462" spans="5:6" x14ac:dyDescent="0.2">
      <c r="E462"/>
      <c r="F462"/>
    </row>
    <row r="463" spans="5:6" x14ac:dyDescent="0.2">
      <c r="E463"/>
      <c r="F463"/>
    </row>
    <row r="464" spans="5:6" x14ac:dyDescent="0.2">
      <c r="E464"/>
      <c r="F464"/>
    </row>
    <row r="465" spans="5:6" x14ac:dyDescent="0.2">
      <c r="E465"/>
      <c r="F465"/>
    </row>
    <row r="466" spans="5:6" x14ac:dyDescent="0.2">
      <c r="E466"/>
      <c r="F466"/>
    </row>
    <row r="467" spans="5:6" x14ac:dyDescent="0.2">
      <c r="E467"/>
      <c r="F467"/>
    </row>
    <row r="468" spans="5:6" x14ac:dyDescent="0.2">
      <c r="E468"/>
      <c r="F468"/>
    </row>
    <row r="469" spans="5:6" x14ac:dyDescent="0.2">
      <c r="E469"/>
      <c r="F469"/>
    </row>
    <row r="470" spans="5:6" x14ac:dyDescent="0.2">
      <c r="E470"/>
      <c r="F470"/>
    </row>
    <row r="471" spans="5:6" x14ac:dyDescent="0.2">
      <c r="E471"/>
      <c r="F471"/>
    </row>
    <row r="472" spans="5:6" x14ac:dyDescent="0.2">
      <c r="E472"/>
      <c r="F472"/>
    </row>
    <row r="473" spans="5:6" x14ac:dyDescent="0.2">
      <c r="E473"/>
      <c r="F473"/>
    </row>
    <row r="474" spans="5:6" x14ac:dyDescent="0.2">
      <c r="E474"/>
      <c r="F474"/>
    </row>
    <row r="475" spans="5:6" x14ac:dyDescent="0.2">
      <c r="E475"/>
      <c r="F475"/>
    </row>
    <row r="476" spans="5:6" x14ac:dyDescent="0.2">
      <c r="E476"/>
      <c r="F476"/>
    </row>
    <row r="477" spans="5:6" x14ac:dyDescent="0.2">
      <c r="E477"/>
      <c r="F477"/>
    </row>
    <row r="478" spans="5:6" x14ac:dyDescent="0.2">
      <c r="E478"/>
      <c r="F478"/>
    </row>
    <row r="479" spans="5:6" x14ac:dyDescent="0.2">
      <c r="E479"/>
      <c r="F479"/>
    </row>
    <row r="480" spans="5:6" x14ac:dyDescent="0.2">
      <c r="E480"/>
      <c r="F480"/>
    </row>
    <row r="481" spans="5:6" x14ac:dyDescent="0.2">
      <c r="E481"/>
      <c r="F481"/>
    </row>
    <row r="482" spans="5:6" x14ac:dyDescent="0.2">
      <c r="E482"/>
      <c r="F482"/>
    </row>
    <row r="483" spans="5:6" x14ac:dyDescent="0.2">
      <c r="E483"/>
      <c r="F483"/>
    </row>
    <row r="484" spans="5:6" x14ac:dyDescent="0.2">
      <c r="E484"/>
      <c r="F484"/>
    </row>
    <row r="485" spans="5:6" x14ac:dyDescent="0.2">
      <c r="E485"/>
      <c r="F485"/>
    </row>
    <row r="486" spans="5:6" x14ac:dyDescent="0.2">
      <c r="E486"/>
      <c r="F486"/>
    </row>
    <row r="487" spans="5:6" x14ac:dyDescent="0.2">
      <c r="E487"/>
      <c r="F487"/>
    </row>
    <row r="488" spans="5:6" x14ac:dyDescent="0.2">
      <c r="E488"/>
      <c r="F488"/>
    </row>
    <row r="489" spans="5:6" x14ac:dyDescent="0.2">
      <c r="E489"/>
      <c r="F489"/>
    </row>
    <row r="490" spans="5:6" x14ac:dyDescent="0.2">
      <c r="E490"/>
      <c r="F490"/>
    </row>
    <row r="491" spans="5:6" x14ac:dyDescent="0.2">
      <c r="E491"/>
      <c r="F491"/>
    </row>
    <row r="492" spans="5:6" x14ac:dyDescent="0.2">
      <c r="E492"/>
      <c r="F492"/>
    </row>
    <row r="493" spans="5:6" x14ac:dyDescent="0.2">
      <c r="E493"/>
      <c r="F493"/>
    </row>
    <row r="494" spans="5:6" x14ac:dyDescent="0.2">
      <c r="E494"/>
      <c r="F494"/>
    </row>
    <row r="495" spans="5:6" x14ac:dyDescent="0.2">
      <c r="E495"/>
      <c r="F495"/>
    </row>
    <row r="496" spans="5:6" x14ac:dyDescent="0.2">
      <c r="E496"/>
      <c r="F496"/>
    </row>
    <row r="497" spans="5:6" x14ac:dyDescent="0.2">
      <c r="E497"/>
      <c r="F497"/>
    </row>
    <row r="498" spans="5:6" x14ac:dyDescent="0.2">
      <c r="E498"/>
      <c r="F498"/>
    </row>
    <row r="499" spans="5:6" x14ac:dyDescent="0.2">
      <c r="E499"/>
      <c r="F499"/>
    </row>
    <row r="500" spans="5:6" x14ac:dyDescent="0.2">
      <c r="E500"/>
      <c r="F500"/>
    </row>
    <row r="501" spans="5:6" x14ac:dyDescent="0.2">
      <c r="E501"/>
      <c r="F501"/>
    </row>
    <row r="502" spans="5:6" x14ac:dyDescent="0.2">
      <c r="E502"/>
      <c r="F502"/>
    </row>
    <row r="503" spans="5:6" x14ac:dyDescent="0.2">
      <c r="E503"/>
      <c r="F503"/>
    </row>
    <row r="504" spans="5:6" x14ac:dyDescent="0.2">
      <c r="E504"/>
      <c r="F504"/>
    </row>
    <row r="505" spans="5:6" x14ac:dyDescent="0.2">
      <c r="E505"/>
      <c r="F505"/>
    </row>
    <row r="506" spans="5:6" x14ac:dyDescent="0.2">
      <c r="E506"/>
      <c r="F506"/>
    </row>
    <row r="507" spans="5:6" x14ac:dyDescent="0.2">
      <c r="E507"/>
      <c r="F507"/>
    </row>
    <row r="508" spans="5:6" x14ac:dyDescent="0.2">
      <c r="E508"/>
      <c r="F508"/>
    </row>
    <row r="509" spans="5:6" x14ac:dyDescent="0.2">
      <c r="E509"/>
      <c r="F509"/>
    </row>
    <row r="510" spans="5:6" x14ac:dyDescent="0.2">
      <c r="E510"/>
      <c r="F510"/>
    </row>
    <row r="511" spans="5:6" x14ac:dyDescent="0.2">
      <c r="E511"/>
      <c r="F511"/>
    </row>
    <row r="512" spans="5:6" x14ac:dyDescent="0.2">
      <c r="E512"/>
      <c r="F512"/>
    </row>
    <row r="513" spans="5:6" x14ac:dyDescent="0.2">
      <c r="E513"/>
      <c r="F513"/>
    </row>
    <row r="514" spans="5:6" x14ac:dyDescent="0.2">
      <c r="E514"/>
      <c r="F514"/>
    </row>
    <row r="515" spans="5:6" x14ac:dyDescent="0.2">
      <c r="E515"/>
      <c r="F515"/>
    </row>
    <row r="516" spans="5:6" x14ac:dyDescent="0.2">
      <c r="E516"/>
      <c r="F516"/>
    </row>
    <row r="517" spans="5:6" x14ac:dyDescent="0.2">
      <c r="E517"/>
      <c r="F517"/>
    </row>
    <row r="518" spans="5:6" x14ac:dyDescent="0.2">
      <c r="E518"/>
      <c r="F518"/>
    </row>
    <row r="519" spans="5:6" x14ac:dyDescent="0.2">
      <c r="E519"/>
      <c r="F519"/>
    </row>
    <row r="520" spans="5:6" x14ac:dyDescent="0.2">
      <c r="E520"/>
      <c r="F520"/>
    </row>
    <row r="521" spans="5:6" x14ac:dyDescent="0.2">
      <c r="E521"/>
      <c r="F521"/>
    </row>
    <row r="522" spans="5:6" x14ac:dyDescent="0.2">
      <c r="E522"/>
      <c r="F522"/>
    </row>
    <row r="523" spans="5:6" x14ac:dyDescent="0.2">
      <c r="E523"/>
      <c r="F523"/>
    </row>
    <row r="524" spans="5:6" x14ac:dyDescent="0.2">
      <c r="E524"/>
      <c r="F524"/>
    </row>
    <row r="525" spans="5:6" x14ac:dyDescent="0.2">
      <c r="E525"/>
      <c r="F525"/>
    </row>
    <row r="526" spans="5:6" x14ac:dyDescent="0.2">
      <c r="E526"/>
      <c r="F526"/>
    </row>
    <row r="527" spans="5:6" x14ac:dyDescent="0.2">
      <c r="E527"/>
      <c r="F527"/>
    </row>
    <row r="528" spans="5:6" x14ac:dyDescent="0.2">
      <c r="E528"/>
      <c r="F528"/>
    </row>
    <row r="529" spans="5:6" x14ac:dyDescent="0.2">
      <c r="E529"/>
      <c r="F529"/>
    </row>
    <row r="530" spans="5:6" x14ac:dyDescent="0.2">
      <c r="E530"/>
      <c r="F530"/>
    </row>
    <row r="531" spans="5:6" x14ac:dyDescent="0.2">
      <c r="E531"/>
      <c r="F531"/>
    </row>
    <row r="532" spans="5:6" x14ac:dyDescent="0.2">
      <c r="E532"/>
      <c r="F532"/>
    </row>
    <row r="533" spans="5:6" x14ac:dyDescent="0.2">
      <c r="E533"/>
      <c r="F533"/>
    </row>
    <row r="534" spans="5:6" x14ac:dyDescent="0.2">
      <c r="E534"/>
      <c r="F534"/>
    </row>
    <row r="535" spans="5:6" x14ac:dyDescent="0.2">
      <c r="E535"/>
      <c r="F535"/>
    </row>
    <row r="536" spans="5:6" x14ac:dyDescent="0.2">
      <c r="E536"/>
      <c r="F536"/>
    </row>
    <row r="537" spans="5:6" x14ac:dyDescent="0.2">
      <c r="E537"/>
      <c r="F537"/>
    </row>
    <row r="538" spans="5:6" x14ac:dyDescent="0.2">
      <c r="E538"/>
      <c r="F538"/>
    </row>
    <row r="539" spans="5:6" x14ac:dyDescent="0.2">
      <c r="E539"/>
      <c r="F539"/>
    </row>
    <row r="540" spans="5:6" x14ac:dyDescent="0.2">
      <c r="E540"/>
      <c r="F540"/>
    </row>
    <row r="541" spans="5:6" x14ac:dyDescent="0.2">
      <c r="E541"/>
      <c r="F541"/>
    </row>
    <row r="542" spans="5:6" x14ac:dyDescent="0.2">
      <c r="E542"/>
      <c r="F542"/>
    </row>
    <row r="543" spans="5:6" x14ac:dyDescent="0.2">
      <c r="E543"/>
      <c r="F543"/>
    </row>
    <row r="544" spans="5:6" x14ac:dyDescent="0.2">
      <c r="E544"/>
      <c r="F544"/>
    </row>
    <row r="545" spans="5:6" x14ac:dyDescent="0.2">
      <c r="E545"/>
      <c r="F545"/>
    </row>
    <row r="546" spans="5:6" x14ac:dyDescent="0.2">
      <c r="E546"/>
      <c r="F546"/>
    </row>
    <row r="547" spans="5:6" x14ac:dyDescent="0.2">
      <c r="E547"/>
      <c r="F547"/>
    </row>
    <row r="548" spans="5:6" x14ac:dyDescent="0.2">
      <c r="E548"/>
      <c r="F548"/>
    </row>
    <row r="549" spans="5:6" x14ac:dyDescent="0.2">
      <c r="E549"/>
      <c r="F549"/>
    </row>
    <row r="550" spans="5:6" x14ac:dyDescent="0.2">
      <c r="E550"/>
      <c r="F550"/>
    </row>
    <row r="551" spans="5:6" x14ac:dyDescent="0.2">
      <c r="E551"/>
      <c r="F551"/>
    </row>
    <row r="552" spans="5:6" x14ac:dyDescent="0.2">
      <c r="E552"/>
      <c r="F552"/>
    </row>
    <row r="553" spans="5:6" x14ac:dyDescent="0.2">
      <c r="E553"/>
      <c r="F553"/>
    </row>
    <row r="554" spans="5:6" x14ac:dyDescent="0.2">
      <c r="E554"/>
      <c r="F554"/>
    </row>
    <row r="555" spans="5:6" x14ac:dyDescent="0.2">
      <c r="E555"/>
      <c r="F555"/>
    </row>
    <row r="556" spans="5:6" x14ac:dyDescent="0.2">
      <c r="E556"/>
      <c r="F556"/>
    </row>
    <row r="557" spans="5:6" x14ac:dyDescent="0.2">
      <c r="E557"/>
      <c r="F557"/>
    </row>
    <row r="558" spans="5:6" x14ac:dyDescent="0.2">
      <c r="E558"/>
      <c r="F558"/>
    </row>
    <row r="559" spans="5:6" x14ac:dyDescent="0.2">
      <c r="E559"/>
      <c r="F559"/>
    </row>
    <row r="560" spans="5:6" x14ac:dyDescent="0.2">
      <c r="E560"/>
      <c r="F560"/>
    </row>
    <row r="561" spans="5:6" x14ac:dyDescent="0.2">
      <c r="E561"/>
      <c r="F561"/>
    </row>
    <row r="562" spans="5:6" x14ac:dyDescent="0.2">
      <c r="E562"/>
      <c r="F562"/>
    </row>
    <row r="563" spans="5:6" x14ac:dyDescent="0.2">
      <c r="E563"/>
      <c r="F563"/>
    </row>
    <row r="564" spans="5:6" x14ac:dyDescent="0.2">
      <c r="E564"/>
      <c r="F564"/>
    </row>
    <row r="565" spans="5:6" x14ac:dyDescent="0.2">
      <c r="E565"/>
      <c r="F565"/>
    </row>
    <row r="566" spans="5:6" x14ac:dyDescent="0.2">
      <c r="E566"/>
      <c r="F566"/>
    </row>
    <row r="567" spans="5:6" x14ac:dyDescent="0.2">
      <c r="E567"/>
      <c r="F567"/>
    </row>
    <row r="568" spans="5:6" x14ac:dyDescent="0.2">
      <c r="E568"/>
      <c r="F568"/>
    </row>
    <row r="569" spans="5:6" x14ac:dyDescent="0.2">
      <c r="E569"/>
      <c r="F569"/>
    </row>
    <row r="570" spans="5:6" x14ac:dyDescent="0.2">
      <c r="E570"/>
      <c r="F570"/>
    </row>
    <row r="571" spans="5:6" x14ac:dyDescent="0.2">
      <c r="E571"/>
      <c r="F571"/>
    </row>
    <row r="572" spans="5:6" x14ac:dyDescent="0.2">
      <c r="E572"/>
      <c r="F572"/>
    </row>
    <row r="573" spans="5:6" x14ac:dyDescent="0.2">
      <c r="E573"/>
      <c r="F573"/>
    </row>
    <row r="574" spans="5:6" x14ac:dyDescent="0.2">
      <c r="E574"/>
      <c r="F574"/>
    </row>
    <row r="575" spans="5:6" x14ac:dyDescent="0.2">
      <c r="E575"/>
      <c r="F575"/>
    </row>
    <row r="576" spans="5:6" x14ac:dyDescent="0.2">
      <c r="E576"/>
      <c r="F576"/>
    </row>
    <row r="577" spans="5:6" x14ac:dyDescent="0.2">
      <c r="E577"/>
      <c r="F577"/>
    </row>
    <row r="578" spans="5:6" x14ac:dyDescent="0.2">
      <c r="E578"/>
      <c r="F578"/>
    </row>
    <row r="579" spans="5:6" x14ac:dyDescent="0.2">
      <c r="E579"/>
      <c r="F579"/>
    </row>
    <row r="580" spans="5:6" x14ac:dyDescent="0.2">
      <c r="E580"/>
      <c r="F580"/>
    </row>
    <row r="581" spans="5:6" x14ac:dyDescent="0.2">
      <c r="E581"/>
      <c r="F581"/>
    </row>
    <row r="582" spans="5:6" x14ac:dyDescent="0.2">
      <c r="E582"/>
      <c r="F582"/>
    </row>
    <row r="583" spans="5:6" x14ac:dyDescent="0.2">
      <c r="E583"/>
      <c r="F583"/>
    </row>
    <row r="584" spans="5:6" x14ac:dyDescent="0.2">
      <c r="E584"/>
      <c r="F584"/>
    </row>
    <row r="585" spans="5:6" x14ac:dyDescent="0.2">
      <c r="E585"/>
      <c r="F585"/>
    </row>
    <row r="586" spans="5:6" x14ac:dyDescent="0.2">
      <c r="E586"/>
      <c r="F586"/>
    </row>
    <row r="587" spans="5:6" x14ac:dyDescent="0.2">
      <c r="E587"/>
      <c r="F587"/>
    </row>
    <row r="588" spans="5:6" x14ac:dyDescent="0.2">
      <c r="E588"/>
      <c r="F588"/>
    </row>
    <row r="589" spans="5:6" x14ac:dyDescent="0.2">
      <c r="E589"/>
      <c r="F589"/>
    </row>
    <row r="590" spans="5:6" x14ac:dyDescent="0.2">
      <c r="E590"/>
      <c r="F590"/>
    </row>
    <row r="591" spans="5:6" x14ac:dyDescent="0.2">
      <c r="E591"/>
      <c r="F591"/>
    </row>
    <row r="592" spans="5:6" x14ac:dyDescent="0.2">
      <c r="E592"/>
      <c r="F592"/>
    </row>
    <row r="593" spans="5:6" x14ac:dyDescent="0.2">
      <c r="E593"/>
      <c r="F593"/>
    </row>
    <row r="594" spans="5:6" x14ac:dyDescent="0.2">
      <c r="E594"/>
      <c r="F594"/>
    </row>
    <row r="595" spans="5:6" x14ac:dyDescent="0.2">
      <c r="E595"/>
      <c r="F595"/>
    </row>
    <row r="596" spans="5:6" x14ac:dyDescent="0.2">
      <c r="E596"/>
      <c r="F596"/>
    </row>
    <row r="597" spans="5:6" x14ac:dyDescent="0.2">
      <c r="E597"/>
      <c r="F597"/>
    </row>
    <row r="598" spans="5:6" x14ac:dyDescent="0.2">
      <c r="E598"/>
      <c r="F598"/>
    </row>
    <row r="599" spans="5:6" x14ac:dyDescent="0.2">
      <c r="E599"/>
      <c r="F599"/>
    </row>
    <row r="600" spans="5:6" x14ac:dyDescent="0.2">
      <c r="E600"/>
      <c r="F600"/>
    </row>
    <row r="601" spans="5:6" x14ac:dyDescent="0.2">
      <c r="E601"/>
      <c r="F601"/>
    </row>
    <row r="602" spans="5:6" x14ac:dyDescent="0.2">
      <c r="E602"/>
      <c r="F602"/>
    </row>
    <row r="603" spans="5:6" x14ac:dyDescent="0.2">
      <c r="E603"/>
      <c r="F603"/>
    </row>
    <row r="604" spans="5:6" x14ac:dyDescent="0.2">
      <c r="E604"/>
      <c r="F604"/>
    </row>
    <row r="605" spans="5:6" x14ac:dyDescent="0.2">
      <c r="E605"/>
      <c r="F605"/>
    </row>
    <row r="606" spans="5:6" x14ac:dyDescent="0.2">
      <c r="E606"/>
      <c r="F606"/>
    </row>
    <row r="607" spans="5:6" x14ac:dyDescent="0.2">
      <c r="E607"/>
      <c r="F607"/>
    </row>
    <row r="608" spans="5:6" x14ac:dyDescent="0.2">
      <c r="E608"/>
      <c r="F608"/>
    </row>
    <row r="609" spans="5:6" x14ac:dyDescent="0.2">
      <c r="E609"/>
      <c r="F609"/>
    </row>
    <row r="610" spans="5:6" x14ac:dyDescent="0.2">
      <c r="E610"/>
      <c r="F610"/>
    </row>
    <row r="611" spans="5:6" x14ac:dyDescent="0.2">
      <c r="E611"/>
      <c r="F611"/>
    </row>
    <row r="612" spans="5:6" x14ac:dyDescent="0.2">
      <c r="E612"/>
      <c r="F612"/>
    </row>
    <row r="613" spans="5:6" x14ac:dyDescent="0.2">
      <c r="E613"/>
      <c r="F613"/>
    </row>
    <row r="614" spans="5:6" x14ac:dyDescent="0.2">
      <c r="E614"/>
      <c r="F614"/>
    </row>
    <row r="615" spans="5:6" x14ac:dyDescent="0.2">
      <c r="E615"/>
      <c r="F615"/>
    </row>
    <row r="616" spans="5:6" x14ac:dyDescent="0.2">
      <c r="E616"/>
      <c r="F616"/>
    </row>
    <row r="617" spans="5:6" x14ac:dyDescent="0.2">
      <c r="E617"/>
      <c r="F617"/>
    </row>
    <row r="618" spans="5:6" x14ac:dyDescent="0.2">
      <c r="E618"/>
      <c r="F618"/>
    </row>
    <row r="619" spans="5:6" x14ac:dyDescent="0.2">
      <c r="E619"/>
      <c r="F619"/>
    </row>
    <row r="620" spans="5:6" x14ac:dyDescent="0.2">
      <c r="E620"/>
      <c r="F620"/>
    </row>
    <row r="621" spans="5:6" x14ac:dyDescent="0.2">
      <c r="E621"/>
      <c r="F621"/>
    </row>
    <row r="622" spans="5:6" x14ac:dyDescent="0.2">
      <c r="E622"/>
      <c r="F622"/>
    </row>
    <row r="623" spans="5:6" x14ac:dyDescent="0.2">
      <c r="E623"/>
      <c r="F623"/>
    </row>
    <row r="624" spans="5:6" x14ac:dyDescent="0.2">
      <c r="E624"/>
      <c r="F624"/>
    </row>
    <row r="625" spans="5:6" x14ac:dyDescent="0.2">
      <c r="E625"/>
      <c r="F625"/>
    </row>
    <row r="626" spans="5:6" x14ac:dyDescent="0.2">
      <c r="E626"/>
      <c r="F626"/>
    </row>
    <row r="627" spans="5:6" x14ac:dyDescent="0.2">
      <c r="E627"/>
      <c r="F627"/>
    </row>
    <row r="628" spans="5:6" x14ac:dyDescent="0.2">
      <c r="E628"/>
      <c r="F628"/>
    </row>
    <row r="629" spans="5:6" x14ac:dyDescent="0.2">
      <c r="E629"/>
      <c r="F629"/>
    </row>
    <row r="630" spans="5:6" x14ac:dyDescent="0.2">
      <c r="E630"/>
      <c r="F630"/>
    </row>
    <row r="631" spans="5:6" x14ac:dyDescent="0.2">
      <c r="E631"/>
      <c r="F631"/>
    </row>
    <row r="632" spans="5:6" x14ac:dyDescent="0.2">
      <c r="E632"/>
      <c r="F632"/>
    </row>
    <row r="633" spans="5:6" x14ac:dyDescent="0.2">
      <c r="E633"/>
      <c r="F633"/>
    </row>
    <row r="634" spans="5:6" x14ac:dyDescent="0.2">
      <c r="E634"/>
      <c r="F634"/>
    </row>
    <row r="635" spans="5:6" x14ac:dyDescent="0.2">
      <c r="E635"/>
      <c r="F635"/>
    </row>
    <row r="636" spans="5:6" x14ac:dyDescent="0.2">
      <c r="E636"/>
      <c r="F636"/>
    </row>
    <row r="637" spans="5:6" x14ac:dyDescent="0.2">
      <c r="E637"/>
      <c r="F637"/>
    </row>
    <row r="638" spans="5:6" x14ac:dyDescent="0.2">
      <c r="E638"/>
      <c r="F638"/>
    </row>
    <row r="639" spans="5:6" x14ac:dyDescent="0.2">
      <c r="E639"/>
      <c r="F639"/>
    </row>
    <row r="640" spans="5:6" x14ac:dyDescent="0.2">
      <c r="E640"/>
      <c r="F640"/>
    </row>
    <row r="641" spans="5:6" x14ac:dyDescent="0.2">
      <c r="E641"/>
      <c r="F641"/>
    </row>
    <row r="642" spans="5:6" x14ac:dyDescent="0.2">
      <c r="E642"/>
      <c r="F642"/>
    </row>
    <row r="643" spans="5:6" x14ac:dyDescent="0.2">
      <c r="E643"/>
      <c r="F643"/>
    </row>
    <row r="644" spans="5:6" x14ac:dyDescent="0.2">
      <c r="E644"/>
      <c r="F644"/>
    </row>
    <row r="645" spans="5:6" x14ac:dyDescent="0.2">
      <c r="E645"/>
      <c r="F645"/>
    </row>
    <row r="646" spans="5:6" x14ac:dyDescent="0.2">
      <c r="E646"/>
      <c r="F646"/>
    </row>
    <row r="647" spans="5:6" x14ac:dyDescent="0.2">
      <c r="E647"/>
      <c r="F647"/>
    </row>
    <row r="648" spans="5:6" x14ac:dyDescent="0.2">
      <c r="E648"/>
      <c r="F648"/>
    </row>
    <row r="649" spans="5:6" x14ac:dyDescent="0.2">
      <c r="E649"/>
      <c r="F649"/>
    </row>
    <row r="650" spans="5:6" x14ac:dyDescent="0.2">
      <c r="E650"/>
      <c r="F650"/>
    </row>
    <row r="651" spans="5:6" x14ac:dyDescent="0.2">
      <c r="E651"/>
      <c r="F651"/>
    </row>
    <row r="652" spans="5:6" x14ac:dyDescent="0.2">
      <c r="E652"/>
      <c r="F652"/>
    </row>
    <row r="653" spans="5:6" x14ac:dyDescent="0.2">
      <c r="E653"/>
      <c r="F653"/>
    </row>
    <row r="654" spans="5:6" x14ac:dyDescent="0.2">
      <c r="E654"/>
      <c r="F654"/>
    </row>
    <row r="655" spans="5:6" x14ac:dyDescent="0.2">
      <c r="E655"/>
      <c r="F655"/>
    </row>
    <row r="656" spans="5:6" x14ac:dyDescent="0.2">
      <c r="E656"/>
      <c r="F656"/>
    </row>
    <row r="657" spans="5:6" x14ac:dyDescent="0.2">
      <c r="E657"/>
      <c r="F657"/>
    </row>
    <row r="658" spans="5:6" x14ac:dyDescent="0.2">
      <c r="E658"/>
      <c r="F658"/>
    </row>
    <row r="659" spans="5:6" x14ac:dyDescent="0.2">
      <c r="E659"/>
      <c r="F659"/>
    </row>
    <row r="660" spans="5:6" x14ac:dyDescent="0.2">
      <c r="E660"/>
      <c r="F660"/>
    </row>
    <row r="661" spans="5:6" x14ac:dyDescent="0.2">
      <c r="E661"/>
      <c r="F661"/>
    </row>
    <row r="662" spans="5:6" x14ac:dyDescent="0.2">
      <c r="E662"/>
      <c r="F662"/>
    </row>
    <row r="663" spans="5:6" x14ac:dyDescent="0.2">
      <c r="E663"/>
      <c r="F663"/>
    </row>
    <row r="664" spans="5:6" x14ac:dyDescent="0.2">
      <c r="E664"/>
      <c r="F664"/>
    </row>
    <row r="665" spans="5:6" x14ac:dyDescent="0.2">
      <c r="E665"/>
      <c r="F665"/>
    </row>
    <row r="666" spans="5:6" x14ac:dyDescent="0.2">
      <c r="E666"/>
      <c r="F666"/>
    </row>
    <row r="667" spans="5:6" x14ac:dyDescent="0.2">
      <c r="E667"/>
      <c r="F667"/>
    </row>
    <row r="668" spans="5:6" x14ac:dyDescent="0.2">
      <c r="E668"/>
      <c r="F668"/>
    </row>
    <row r="669" spans="5:6" x14ac:dyDescent="0.2">
      <c r="E669"/>
      <c r="F669"/>
    </row>
    <row r="670" spans="5:6" x14ac:dyDescent="0.2">
      <c r="E670"/>
      <c r="F670"/>
    </row>
    <row r="671" spans="5:6" x14ac:dyDescent="0.2">
      <c r="E671"/>
      <c r="F671"/>
    </row>
    <row r="672" spans="5:6" x14ac:dyDescent="0.2">
      <c r="E672"/>
      <c r="F672"/>
    </row>
    <row r="673" spans="5:6" x14ac:dyDescent="0.2">
      <c r="E673"/>
      <c r="F673"/>
    </row>
    <row r="674" spans="5:6" x14ac:dyDescent="0.2">
      <c r="E674"/>
      <c r="F674"/>
    </row>
    <row r="675" spans="5:6" x14ac:dyDescent="0.2">
      <c r="E675"/>
      <c r="F675"/>
    </row>
    <row r="676" spans="5:6" x14ac:dyDescent="0.2">
      <c r="E676"/>
      <c r="F676"/>
    </row>
    <row r="677" spans="5:6" x14ac:dyDescent="0.2">
      <c r="E677"/>
      <c r="F677"/>
    </row>
    <row r="678" spans="5:6" x14ac:dyDescent="0.2">
      <c r="E678"/>
      <c r="F678"/>
    </row>
    <row r="679" spans="5:6" x14ac:dyDescent="0.2">
      <c r="E679"/>
      <c r="F679"/>
    </row>
    <row r="680" spans="5:6" x14ac:dyDescent="0.2">
      <c r="E680"/>
      <c r="F680"/>
    </row>
    <row r="681" spans="5:6" x14ac:dyDescent="0.2">
      <c r="E681"/>
      <c r="F681"/>
    </row>
    <row r="682" spans="5:6" x14ac:dyDescent="0.2">
      <c r="E682"/>
      <c r="F682"/>
    </row>
    <row r="683" spans="5:6" x14ac:dyDescent="0.2">
      <c r="E683"/>
      <c r="F683"/>
    </row>
    <row r="684" spans="5:6" x14ac:dyDescent="0.2">
      <c r="E684"/>
      <c r="F684"/>
    </row>
    <row r="685" spans="5:6" x14ac:dyDescent="0.2">
      <c r="E685"/>
      <c r="F685"/>
    </row>
    <row r="686" spans="5:6" x14ac:dyDescent="0.2">
      <c r="E686"/>
      <c r="F686"/>
    </row>
    <row r="687" spans="5:6" x14ac:dyDescent="0.2">
      <c r="E687"/>
      <c r="F687"/>
    </row>
    <row r="688" spans="5:6" x14ac:dyDescent="0.2">
      <c r="E688"/>
      <c r="F688"/>
    </row>
    <row r="689" spans="5:6" x14ac:dyDescent="0.2">
      <c r="E689"/>
      <c r="F689"/>
    </row>
    <row r="690" spans="5:6" x14ac:dyDescent="0.2">
      <c r="E690"/>
      <c r="F690"/>
    </row>
    <row r="691" spans="5:6" x14ac:dyDescent="0.2">
      <c r="E691"/>
      <c r="F691"/>
    </row>
    <row r="692" spans="5:6" x14ac:dyDescent="0.2">
      <c r="E692"/>
      <c r="F692"/>
    </row>
    <row r="693" spans="5:6" x14ac:dyDescent="0.2">
      <c r="E693"/>
      <c r="F693"/>
    </row>
    <row r="694" spans="5:6" x14ac:dyDescent="0.2">
      <c r="E694"/>
      <c r="F694"/>
    </row>
    <row r="695" spans="5:6" x14ac:dyDescent="0.2">
      <c r="E695"/>
      <c r="F695"/>
    </row>
    <row r="696" spans="5:6" x14ac:dyDescent="0.2">
      <c r="E696"/>
      <c r="F696"/>
    </row>
    <row r="697" spans="5:6" x14ac:dyDescent="0.2">
      <c r="E697"/>
      <c r="F697"/>
    </row>
    <row r="698" spans="5:6" x14ac:dyDescent="0.2">
      <c r="E698"/>
      <c r="F698"/>
    </row>
    <row r="699" spans="5:6" x14ac:dyDescent="0.2">
      <c r="E699"/>
      <c r="F699"/>
    </row>
    <row r="700" spans="5:6" x14ac:dyDescent="0.2">
      <c r="E700"/>
      <c r="F700"/>
    </row>
    <row r="701" spans="5:6" x14ac:dyDescent="0.2">
      <c r="E701"/>
      <c r="F701"/>
    </row>
    <row r="702" spans="5:6" x14ac:dyDescent="0.2">
      <c r="E702"/>
      <c r="F702"/>
    </row>
    <row r="703" spans="5:6" x14ac:dyDescent="0.2">
      <c r="E703"/>
      <c r="F703"/>
    </row>
    <row r="704" spans="5:6" x14ac:dyDescent="0.2">
      <c r="E704"/>
      <c r="F704"/>
    </row>
    <row r="705" spans="5:6" x14ac:dyDescent="0.2">
      <c r="E705"/>
      <c r="F705"/>
    </row>
    <row r="706" spans="5:6" x14ac:dyDescent="0.2">
      <c r="E706"/>
      <c r="F706"/>
    </row>
    <row r="707" spans="5:6" x14ac:dyDescent="0.2">
      <c r="E707"/>
      <c r="F707"/>
    </row>
    <row r="708" spans="5:6" x14ac:dyDescent="0.2">
      <c r="E708"/>
      <c r="F708"/>
    </row>
    <row r="709" spans="5:6" x14ac:dyDescent="0.2">
      <c r="E709"/>
      <c r="F709"/>
    </row>
    <row r="710" spans="5:6" x14ac:dyDescent="0.2">
      <c r="E710"/>
      <c r="F710"/>
    </row>
    <row r="711" spans="5:6" x14ac:dyDescent="0.2">
      <c r="E711"/>
      <c r="F711"/>
    </row>
    <row r="712" spans="5:6" x14ac:dyDescent="0.2">
      <c r="E712"/>
      <c r="F712"/>
    </row>
    <row r="713" spans="5:6" x14ac:dyDescent="0.2">
      <c r="E713"/>
      <c r="F713"/>
    </row>
    <row r="714" spans="5:6" x14ac:dyDescent="0.2">
      <c r="E714"/>
      <c r="F714"/>
    </row>
    <row r="715" spans="5:6" x14ac:dyDescent="0.2">
      <c r="E715"/>
      <c r="F715"/>
    </row>
    <row r="716" spans="5:6" x14ac:dyDescent="0.2">
      <c r="E716"/>
      <c r="F716"/>
    </row>
    <row r="717" spans="5:6" x14ac:dyDescent="0.2">
      <c r="E717"/>
      <c r="F717"/>
    </row>
    <row r="718" spans="5:6" x14ac:dyDescent="0.2">
      <c r="E718"/>
      <c r="F718"/>
    </row>
    <row r="719" spans="5:6" x14ac:dyDescent="0.2">
      <c r="E719"/>
      <c r="F719"/>
    </row>
    <row r="720" spans="5:6" x14ac:dyDescent="0.2">
      <c r="E720"/>
      <c r="F720"/>
    </row>
    <row r="721" spans="5:6" x14ac:dyDescent="0.2">
      <c r="E721"/>
      <c r="F721"/>
    </row>
    <row r="722" spans="5:6" x14ac:dyDescent="0.2">
      <c r="E722"/>
      <c r="F722"/>
    </row>
    <row r="723" spans="5:6" x14ac:dyDescent="0.2">
      <c r="E723"/>
      <c r="F723"/>
    </row>
    <row r="724" spans="5:6" x14ac:dyDescent="0.2">
      <c r="E724"/>
      <c r="F724"/>
    </row>
    <row r="725" spans="5:6" x14ac:dyDescent="0.2">
      <c r="E725"/>
      <c r="F725"/>
    </row>
    <row r="726" spans="5:6" x14ac:dyDescent="0.2">
      <c r="E726"/>
      <c r="F726"/>
    </row>
    <row r="727" spans="5:6" x14ac:dyDescent="0.2">
      <c r="E727"/>
      <c r="F727"/>
    </row>
    <row r="728" spans="5:6" x14ac:dyDescent="0.2">
      <c r="E728"/>
      <c r="F728"/>
    </row>
    <row r="729" spans="5:6" x14ac:dyDescent="0.2">
      <c r="E729"/>
      <c r="F729"/>
    </row>
    <row r="730" spans="5:6" x14ac:dyDescent="0.2">
      <c r="E730"/>
      <c r="F730"/>
    </row>
    <row r="731" spans="5:6" x14ac:dyDescent="0.2">
      <c r="E731"/>
      <c r="F731"/>
    </row>
    <row r="732" spans="5:6" x14ac:dyDescent="0.2">
      <c r="E732"/>
      <c r="F732"/>
    </row>
    <row r="733" spans="5:6" x14ac:dyDescent="0.2">
      <c r="E733"/>
      <c r="F733"/>
    </row>
    <row r="734" spans="5:6" x14ac:dyDescent="0.2">
      <c r="E734"/>
      <c r="F734"/>
    </row>
    <row r="735" spans="5:6" x14ac:dyDescent="0.2">
      <c r="E735"/>
      <c r="F735"/>
    </row>
    <row r="736" spans="5:6" x14ac:dyDescent="0.2">
      <c r="E736"/>
      <c r="F736"/>
    </row>
    <row r="737" spans="5:6" x14ac:dyDescent="0.2">
      <c r="E737"/>
      <c r="F737"/>
    </row>
    <row r="738" spans="5:6" x14ac:dyDescent="0.2">
      <c r="E738"/>
      <c r="F738"/>
    </row>
    <row r="739" spans="5:6" x14ac:dyDescent="0.2">
      <c r="E739"/>
      <c r="F739"/>
    </row>
    <row r="740" spans="5:6" x14ac:dyDescent="0.2">
      <c r="E740"/>
      <c r="F740"/>
    </row>
    <row r="741" spans="5:6" x14ac:dyDescent="0.2">
      <c r="E741"/>
      <c r="F741"/>
    </row>
    <row r="742" spans="5:6" x14ac:dyDescent="0.2">
      <c r="E742"/>
      <c r="F742"/>
    </row>
    <row r="743" spans="5:6" x14ac:dyDescent="0.2">
      <c r="E743"/>
      <c r="F743"/>
    </row>
    <row r="744" spans="5:6" x14ac:dyDescent="0.2">
      <c r="E744"/>
      <c r="F744"/>
    </row>
    <row r="745" spans="5:6" x14ac:dyDescent="0.2">
      <c r="E745"/>
      <c r="F745"/>
    </row>
    <row r="746" spans="5:6" x14ac:dyDescent="0.2">
      <c r="E746"/>
      <c r="F746"/>
    </row>
    <row r="747" spans="5:6" x14ac:dyDescent="0.2">
      <c r="E747"/>
      <c r="F747"/>
    </row>
    <row r="748" spans="5:6" x14ac:dyDescent="0.2">
      <c r="E748"/>
      <c r="F748"/>
    </row>
    <row r="749" spans="5:6" x14ac:dyDescent="0.2">
      <c r="E749"/>
      <c r="F749"/>
    </row>
    <row r="750" spans="5:6" x14ac:dyDescent="0.2">
      <c r="E750"/>
      <c r="F750"/>
    </row>
    <row r="751" spans="5:6" x14ac:dyDescent="0.2">
      <c r="E751"/>
      <c r="F751"/>
    </row>
    <row r="752" spans="5:6" x14ac:dyDescent="0.2">
      <c r="E752"/>
      <c r="F752"/>
    </row>
    <row r="753" spans="5:6" x14ac:dyDescent="0.2">
      <c r="E753"/>
      <c r="F753"/>
    </row>
    <row r="754" spans="5:6" x14ac:dyDescent="0.2">
      <c r="E754"/>
      <c r="F754"/>
    </row>
    <row r="755" spans="5:6" x14ac:dyDescent="0.2">
      <c r="E755"/>
      <c r="F755"/>
    </row>
    <row r="756" spans="5:6" x14ac:dyDescent="0.2">
      <c r="E756"/>
      <c r="F756"/>
    </row>
    <row r="757" spans="5:6" x14ac:dyDescent="0.2">
      <c r="E757"/>
      <c r="F757"/>
    </row>
    <row r="758" spans="5:6" x14ac:dyDescent="0.2">
      <c r="E758"/>
      <c r="F758"/>
    </row>
    <row r="759" spans="5:6" x14ac:dyDescent="0.2">
      <c r="E759"/>
      <c r="F759"/>
    </row>
    <row r="760" spans="5:6" x14ac:dyDescent="0.2">
      <c r="E760"/>
      <c r="F760"/>
    </row>
    <row r="761" spans="5:6" x14ac:dyDescent="0.2">
      <c r="E761"/>
      <c r="F761"/>
    </row>
    <row r="762" spans="5:6" x14ac:dyDescent="0.2">
      <c r="E762"/>
      <c r="F762"/>
    </row>
    <row r="763" spans="5:6" x14ac:dyDescent="0.2">
      <c r="E763"/>
      <c r="F763"/>
    </row>
    <row r="764" spans="5:6" x14ac:dyDescent="0.2">
      <c r="E764"/>
      <c r="F764"/>
    </row>
    <row r="765" spans="5:6" x14ac:dyDescent="0.2">
      <c r="E765"/>
      <c r="F765"/>
    </row>
    <row r="766" spans="5:6" x14ac:dyDescent="0.2">
      <c r="E766"/>
      <c r="F766"/>
    </row>
    <row r="767" spans="5:6" x14ac:dyDescent="0.2">
      <c r="E767"/>
      <c r="F767"/>
    </row>
    <row r="768" spans="5:6" x14ac:dyDescent="0.2">
      <c r="E768"/>
      <c r="F768"/>
    </row>
    <row r="769" spans="5:6" x14ac:dyDescent="0.2">
      <c r="E769"/>
      <c r="F769"/>
    </row>
    <row r="770" spans="5:6" x14ac:dyDescent="0.2">
      <c r="E770"/>
      <c r="F770"/>
    </row>
    <row r="771" spans="5:6" x14ac:dyDescent="0.2">
      <c r="E771"/>
      <c r="F771"/>
    </row>
    <row r="772" spans="5:6" x14ac:dyDescent="0.2">
      <c r="E772"/>
      <c r="F772"/>
    </row>
    <row r="773" spans="5:6" x14ac:dyDescent="0.2">
      <c r="E773"/>
      <c r="F773"/>
    </row>
    <row r="774" spans="5:6" x14ac:dyDescent="0.2">
      <c r="E774"/>
      <c r="F774"/>
    </row>
    <row r="775" spans="5:6" x14ac:dyDescent="0.2">
      <c r="E775"/>
      <c r="F775"/>
    </row>
    <row r="776" spans="5:6" x14ac:dyDescent="0.2">
      <c r="E776"/>
      <c r="F776"/>
    </row>
    <row r="777" spans="5:6" x14ac:dyDescent="0.2">
      <c r="E777"/>
      <c r="F777"/>
    </row>
    <row r="778" spans="5:6" x14ac:dyDescent="0.2">
      <c r="E778"/>
      <c r="F778"/>
    </row>
    <row r="779" spans="5:6" x14ac:dyDescent="0.2">
      <c r="E779"/>
      <c r="F779"/>
    </row>
    <row r="780" spans="5:6" x14ac:dyDescent="0.2">
      <c r="E780"/>
      <c r="F780"/>
    </row>
    <row r="781" spans="5:6" x14ac:dyDescent="0.2">
      <c r="E781"/>
      <c r="F781"/>
    </row>
    <row r="782" spans="5:6" x14ac:dyDescent="0.2">
      <c r="E782"/>
      <c r="F782"/>
    </row>
    <row r="783" spans="5:6" x14ac:dyDescent="0.2">
      <c r="E783"/>
      <c r="F783"/>
    </row>
    <row r="784" spans="5:6" x14ac:dyDescent="0.2">
      <c r="E784"/>
      <c r="F784"/>
    </row>
    <row r="785" spans="5:6" x14ac:dyDescent="0.2">
      <c r="E785"/>
      <c r="F785"/>
    </row>
    <row r="786" spans="5:6" x14ac:dyDescent="0.2">
      <c r="E786"/>
      <c r="F786"/>
    </row>
    <row r="787" spans="5:6" x14ac:dyDescent="0.2">
      <c r="E787"/>
      <c r="F787"/>
    </row>
    <row r="788" spans="5:6" x14ac:dyDescent="0.2">
      <c r="E788"/>
      <c r="F788"/>
    </row>
    <row r="789" spans="5:6" x14ac:dyDescent="0.2">
      <c r="E789"/>
      <c r="F789"/>
    </row>
    <row r="790" spans="5:6" x14ac:dyDescent="0.2">
      <c r="E790"/>
      <c r="F790"/>
    </row>
    <row r="791" spans="5:6" x14ac:dyDescent="0.2">
      <c r="E791"/>
      <c r="F791"/>
    </row>
    <row r="792" spans="5:6" x14ac:dyDescent="0.2">
      <c r="E792"/>
      <c r="F792"/>
    </row>
    <row r="793" spans="5:6" x14ac:dyDescent="0.2">
      <c r="E793"/>
      <c r="F793"/>
    </row>
    <row r="794" spans="5:6" x14ac:dyDescent="0.2">
      <c r="E794"/>
      <c r="F794"/>
    </row>
    <row r="795" spans="5:6" x14ac:dyDescent="0.2">
      <c r="E795"/>
      <c r="F795"/>
    </row>
    <row r="796" spans="5:6" x14ac:dyDescent="0.2">
      <c r="E796"/>
      <c r="F796"/>
    </row>
    <row r="797" spans="5:6" x14ac:dyDescent="0.2">
      <c r="E797"/>
      <c r="F797"/>
    </row>
    <row r="798" spans="5:6" x14ac:dyDescent="0.2">
      <c r="E798"/>
      <c r="F798"/>
    </row>
    <row r="799" spans="5:6" x14ac:dyDescent="0.2">
      <c r="E799"/>
      <c r="F799"/>
    </row>
    <row r="800" spans="5:6" x14ac:dyDescent="0.2">
      <c r="E800"/>
      <c r="F800"/>
    </row>
    <row r="801" spans="5:6" x14ac:dyDescent="0.2">
      <c r="E801"/>
      <c r="F801"/>
    </row>
    <row r="802" spans="5:6" x14ac:dyDescent="0.2">
      <c r="E802"/>
      <c r="F802"/>
    </row>
    <row r="803" spans="5:6" x14ac:dyDescent="0.2">
      <c r="E803"/>
      <c r="F803"/>
    </row>
    <row r="804" spans="5:6" x14ac:dyDescent="0.2">
      <c r="E804"/>
      <c r="F804"/>
    </row>
    <row r="805" spans="5:6" x14ac:dyDescent="0.2">
      <c r="E805"/>
      <c r="F805"/>
    </row>
    <row r="806" spans="5:6" x14ac:dyDescent="0.2">
      <c r="E806"/>
      <c r="F806"/>
    </row>
    <row r="807" spans="5:6" x14ac:dyDescent="0.2">
      <c r="E807"/>
      <c r="F807"/>
    </row>
    <row r="808" spans="5:6" x14ac:dyDescent="0.2">
      <c r="E808"/>
      <c r="F808"/>
    </row>
    <row r="809" spans="5:6" x14ac:dyDescent="0.2">
      <c r="E809"/>
      <c r="F809"/>
    </row>
    <row r="810" spans="5:6" x14ac:dyDescent="0.2">
      <c r="E810"/>
      <c r="F810"/>
    </row>
    <row r="811" spans="5:6" x14ac:dyDescent="0.2">
      <c r="E811"/>
      <c r="F811"/>
    </row>
    <row r="812" spans="5:6" x14ac:dyDescent="0.2">
      <c r="E812"/>
      <c r="F812"/>
    </row>
    <row r="813" spans="5:6" x14ac:dyDescent="0.2">
      <c r="E813"/>
      <c r="F813"/>
    </row>
    <row r="814" spans="5:6" x14ac:dyDescent="0.2">
      <c r="E814"/>
      <c r="F814"/>
    </row>
    <row r="815" spans="5:6" x14ac:dyDescent="0.2">
      <c r="E815"/>
      <c r="F815"/>
    </row>
    <row r="816" spans="5:6" x14ac:dyDescent="0.2">
      <c r="E816"/>
      <c r="F816"/>
    </row>
    <row r="817" spans="5:6" x14ac:dyDescent="0.2">
      <c r="E817"/>
      <c r="F817"/>
    </row>
    <row r="818" spans="5:6" x14ac:dyDescent="0.2">
      <c r="E818"/>
      <c r="F818"/>
    </row>
    <row r="819" spans="5:6" x14ac:dyDescent="0.2">
      <c r="E819"/>
      <c r="F819"/>
    </row>
    <row r="820" spans="5:6" x14ac:dyDescent="0.2">
      <c r="E820"/>
      <c r="F820"/>
    </row>
    <row r="821" spans="5:6" x14ac:dyDescent="0.2">
      <c r="E821"/>
      <c r="F821"/>
    </row>
    <row r="822" spans="5:6" x14ac:dyDescent="0.2">
      <c r="E822"/>
      <c r="F822"/>
    </row>
    <row r="823" spans="5:6" x14ac:dyDescent="0.2">
      <c r="E823"/>
      <c r="F823"/>
    </row>
    <row r="824" spans="5:6" x14ac:dyDescent="0.2">
      <c r="E824"/>
      <c r="F824"/>
    </row>
    <row r="825" spans="5:6" x14ac:dyDescent="0.2">
      <c r="E825"/>
      <c r="F825"/>
    </row>
    <row r="826" spans="5:6" x14ac:dyDescent="0.2">
      <c r="E826"/>
      <c r="F826"/>
    </row>
    <row r="827" spans="5:6" x14ac:dyDescent="0.2">
      <c r="E827"/>
      <c r="F827"/>
    </row>
    <row r="828" spans="5:6" x14ac:dyDescent="0.2">
      <c r="E828"/>
      <c r="F828"/>
    </row>
    <row r="829" spans="5:6" x14ac:dyDescent="0.2">
      <c r="E829"/>
      <c r="F829"/>
    </row>
    <row r="830" spans="5:6" x14ac:dyDescent="0.2">
      <c r="E830"/>
      <c r="F830"/>
    </row>
    <row r="831" spans="5:6" x14ac:dyDescent="0.2">
      <c r="E831"/>
      <c r="F831"/>
    </row>
    <row r="832" spans="5:6" x14ac:dyDescent="0.2">
      <c r="E832"/>
      <c r="F832"/>
    </row>
    <row r="833" spans="5:6" x14ac:dyDescent="0.2">
      <c r="E833"/>
      <c r="F833"/>
    </row>
    <row r="834" spans="5:6" x14ac:dyDescent="0.2">
      <c r="E834"/>
      <c r="F834"/>
    </row>
    <row r="835" spans="5:6" x14ac:dyDescent="0.2">
      <c r="E835"/>
      <c r="F835"/>
    </row>
    <row r="836" spans="5:6" x14ac:dyDescent="0.2">
      <c r="E836"/>
      <c r="F836"/>
    </row>
    <row r="837" spans="5:6" x14ac:dyDescent="0.2">
      <c r="E837"/>
      <c r="F837"/>
    </row>
    <row r="838" spans="5:6" x14ac:dyDescent="0.2">
      <c r="E838"/>
      <c r="F838"/>
    </row>
    <row r="839" spans="5:6" x14ac:dyDescent="0.2">
      <c r="E839"/>
      <c r="F839"/>
    </row>
    <row r="840" spans="5:6" x14ac:dyDescent="0.2">
      <c r="E840"/>
      <c r="F840"/>
    </row>
    <row r="841" spans="5:6" x14ac:dyDescent="0.2">
      <c r="E841"/>
      <c r="F841"/>
    </row>
    <row r="842" spans="5:6" x14ac:dyDescent="0.2">
      <c r="E842"/>
      <c r="F842"/>
    </row>
    <row r="843" spans="5:6" x14ac:dyDescent="0.2">
      <c r="E843"/>
      <c r="F843"/>
    </row>
    <row r="844" spans="5:6" x14ac:dyDescent="0.2">
      <c r="E844"/>
      <c r="F844"/>
    </row>
    <row r="845" spans="5:6" x14ac:dyDescent="0.2">
      <c r="E845"/>
      <c r="F845"/>
    </row>
    <row r="846" spans="5:6" x14ac:dyDescent="0.2">
      <c r="E846"/>
      <c r="F846"/>
    </row>
    <row r="847" spans="5:6" x14ac:dyDescent="0.2">
      <c r="E847"/>
      <c r="F847"/>
    </row>
    <row r="848" spans="5:6" x14ac:dyDescent="0.2">
      <c r="E848"/>
      <c r="F848"/>
    </row>
    <row r="849" spans="5:6" x14ac:dyDescent="0.2">
      <c r="E849"/>
      <c r="F849"/>
    </row>
    <row r="850" spans="5:6" x14ac:dyDescent="0.2">
      <c r="E850"/>
      <c r="F850"/>
    </row>
    <row r="851" spans="5:6" x14ac:dyDescent="0.2">
      <c r="E851"/>
      <c r="F851"/>
    </row>
    <row r="852" spans="5:6" x14ac:dyDescent="0.2">
      <c r="E852"/>
      <c r="F852"/>
    </row>
    <row r="853" spans="5:6" x14ac:dyDescent="0.2">
      <c r="E853"/>
      <c r="F853"/>
    </row>
    <row r="854" spans="5:6" x14ac:dyDescent="0.2">
      <c r="E854"/>
      <c r="F854"/>
    </row>
    <row r="855" spans="5:6" x14ac:dyDescent="0.2">
      <c r="E855"/>
      <c r="F855"/>
    </row>
    <row r="856" spans="5:6" x14ac:dyDescent="0.2">
      <c r="E856"/>
      <c r="F856"/>
    </row>
    <row r="857" spans="5:6" x14ac:dyDescent="0.2">
      <c r="E857"/>
      <c r="F857"/>
    </row>
    <row r="858" spans="5:6" x14ac:dyDescent="0.2">
      <c r="E858"/>
      <c r="F858"/>
    </row>
    <row r="859" spans="5:6" x14ac:dyDescent="0.2">
      <c r="E859"/>
      <c r="F859"/>
    </row>
    <row r="860" spans="5:6" x14ac:dyDescent="0.2">
      <c r="E860"/>
      <c r="F860"/>
    </row>
    <row r="861" spans="5:6" x14ac:dyDescent="0.2">
      <c r="E861"/>
      <c r="F861"/>
    </row>
    <row r="862" spans="5:6" x14ac:dyDescent="0.2">
      <c r="E862"/>
      <c r="F862"/>
    </row>
    <row r="863" spans="5:6" x14ac:dyDescent="0.2">
      <c r="E863"/>
      <c r="F863"/>
    </row>
    <row r="864" spans="5:6" x14ac:dyDescent="0.2">
      <c r="E864"/>
      <c r="F864"/>
    </row>
    <row r="865" spans="5:6" x14ac:dyDescent="0.2">
      <c r="E865"/>
      <c r="F865"/>
    </row>
    <row r="866" spans="5:6" x14ac:dyDescent="0.2">
      <c r="E866"/>
      <c r="F866"/>
    </row>
    <row r="867" spans="5:6" x14ac:dyDescent="0.2">
      <c r="E867"/>
      <c r="F867"/>
    </row>
    <row r="868" spans="5:6" x14ac:dyDescent="0.2">
      <c r="E868"/>
      <c r="F868"/>
    </row>
    <row r="869" spans="5:6" x14ac:dyDescent="0.2">
      <c r="E869"/>
      <c r="F869"/>
    </row>
    <row r="870" spans="5:6" x14ac:dyDescent="0.2">
      <c r="E870"/>
      <c r="F870"/>
    </row>
    <row r="871" spans="5:6" x14ac:dyDescent="0.2">
      <c r="E871"/>
      <c r="F871"/>
    </row>
    <row r="872" spans="5:6" x14ac:dyDescent="0.2">
      <c r="E872"/>
      <c r="F872"/>
    </row>
    <row r="873" spans="5:6" x14ac:dyDescent="0.2">
      <c r="E873"/>
      <c r="F873"/>
    </row>
    <row r="874" spans="5:6" x14ac:dyDescent="0.2">
      <c r="E874"/>
      <c r="F874"/>
    </row>
    <row r="875" spans="5:6" x14ac:dyDescent="0.2">
      <c r="E875"/>
      <c r="F875"/>
    </row>
    <row r="876" spans="5:6" x14ac:dyDescent="0.2">
      <c r="E876"/>
      <c r="F876"/>
    </row>
    <row r="877" spans="5:6" x14ac:dyDescent="0.2">
      <c r="E877"/>
      <c r="F877"/>
    </row>
    <row r="878" spans="5:6" x14ac:dyDescent="0.2">
      <c r="E878"/>
      <c r="F878"/>
    </row>
    <row r="879" spans="5:6" x14ac:dyDescent="0.2">
      <c r="E879"/>
      <c r="F879"/>
    </row>
    <row r="880" spans="5:6" x14ac:dyDescent="0.2">
      <c r="E880"/>
      <c r="F880"/>
    </row>
    <row r="881" spans="5:6" x14ac:dyDescent="0.2">
      <c r="E881"/>
      <c r="F881"/>
    </row>
    <row r="882" spans="5:6" x14ac:dyDescent="0.2">
      <c r="E882"/>
      <c r="F882"/>
    </row>
    <row r="883" spans="5:6" x14ac:dyDescent="0.2">
      <c r="E883"/>
      <c r="F883"/>
    </row>
    <row r="884" spans="5:6" x14ac:dyDescent="0.2">
      <c r="E884"/>
      <c r="F884"/>
    </row>
    <row r="885" spans="5:6" x14ac:dyDescent="0.2">
      <c r="E885"/>
      <c r="F885"/>
    </row>
    <row r="886" spans="5:6" x14ac:dyDescent="0.2">
      <c r="E886"/>
      <c r="F886"/>
    </row>
    <row r="887" spans="5:6" x14ac:dyDescent="0.2">
      <c r="E887"/>
      <c r="F887"/>
    </row>
    <row r="888" spans="5:6" x14ac:dyDescent="0.2">
      <c r="E888"/>
      <c r="F888"/>
    </row>
    <row r="889" spans="5:6" x14ac:dyDescent="0.2">
      <c r="E889"/>
      <c r="F889"/>
    </row>
    <row r="890" spans="5:6" x14ac:dyDescent="0.2">
      <c r="E890"/>
      <c r="F890"/>
    </row>
    <row r="891" spans="5:6" x14ac:dyDescent="0.2">
      <c r="E891"/>
      <c r="F891"/>
    </row>
    <row r="892" spans="5:6" x14ac:dyDescent="0.2">
      <c r="E892"/>
      <c r="F892"/>
    </row>
    <row r="893" spans="5:6" x14ac:dyDescent="0.2">
      <c r="E893"/>
      <c r="F893"/>
    </row>
    <row r="894" spans="5:6" x14ac:dyDescent="0.2">
      <c r="E894"/>
      <c r="F894"/>
    </row>
    <row r="895" spans="5:6" x14ac:dyDescent="0.2">
      <c r="E895"/>
      <c r="F895"/>
    </row>
    <row r="896" spans="5:6" x14ac:dyDescent="0.2">
      <c r="E896"/>
      <c r="F896"/>
    </row>
    <row r="897" spans="5:6" x14ac:dyDescent="0.2">
      <c r="E897"/>
      <c r="F897"/>
    </row>
    <row r="898" spans="5:6" x14ac:dyDescent="0.2">
      <c r="E898"/>
      <c r="F898"/>
    </row>
    <row r="899" spans="5:6" x14ac:dyDescent="0.2">
      <c r="E899"/>
      <c r="F899"/>
    </row>
    <row r="900" spans="5:6" x14ac:dyDescent="0.2">
      <c r="E900"/>
      <c r="F900"/>
    </row>
    <row r="901" spans="5:6" x14ac:dyDescent="0.2">
      <c r="E901"/>
      <c r="F901"/>
    </row>
    <row r="902" spans="5:6" x14ac:dyDescent="0.2">
      <c r="E902"/>
      <c r="F902"/>
    </row>
    <row r="903" spans="5:6" x14ac:dyDescent="0.2">
      <c r="E903"/>
      <c r="F903"/>
    </row>
    <row r="904" spans="5:6" x14ac:dyDescent="0.2">
      <c r="E904"/>
      <c r="F904"/>
    </row>
    <row r="905" spans="5:6" x14ac:dyDescent="0.2">
      <c r="E905"/>
      <c r="F905"/>
    </row>
    <row r="906" spans="5:6" x14ac:dyDescent="0.2">
      <c r="E906"/>
      <c r="F906"/>
    </row>
    <row r="907" spans="5:6" x14ac:dyDescent="0.2">
      <c r="E907"/>
      <c r="F907"/>
    </row>
    <row r="908" spans="5:6" x14ac:dyDescent="0.2">
      <c r="E908"/>
      <c r="F908"/>
    </row>
    <row r="909" spans="5:6" x14ac:dyDescent="0.2">
      <c r="E909"/>
      <c r="F909"/>
    </row>
    <row r="910" spans="5:6" x14ac:dyDescent="0.2">
      <c r="E910"/>
      <c r="F910"/>
    </row>
    <row r="911" spans="5:6" x14ac:dyDescent="0.2">
      <c r="E911"/>
      <c r="F911"/>
    </row>
    <row r="912" spans="5:6" x14ac:dyDescent="0.2">
      <c r="E912"/>
      <c r="F912"/>
    </row>
    <row r="913" spans="5:6" x14ac:dyDescent="0.2">
      <c r="E913"/>
      <c r="F913"/>
    </row>
    <row r="914" spans="5:6" x14ac:dyDescent="0.2">
      <c r="E914"/>
      <c r="F914"/>
    </row>
    <row r="915" spans="5:6" x14ac:dyDescent="0.2">
      <c r="E915"/>
      <c r="F915"/>
    </row>
    <row r="916" spans="5:6" x14ac:dyDescent="0.2">
      <c r="E916"/>
      <c r="F916"/>
    </row>
    <row r="917" spans="5:6" x14ac:dyDescent="0.2">
      <c r="E917"/>
      <c r="F917"/>
    </row>
    <row r="918" spans="5:6" x14ac:dyDescent="0.2">
      <c r="E918"/>
      <c r="F918"/>
    </row>
    <row r="919" spans="5:6" x14ac:dyDescent="0.2">
      <c r="E919"/>
      <c r="F919"/>
    </row>
    <row r="920" spans="5:6" x14ac:dyDescent="0.2">
      <c r="E920"/>
      <c r="F920"/>
    </row>
    <row r="921" spans="5:6" x14ac:dyDescent="0.2">
      <c r="E921"/>
      <c r="F921"/>
    </row>
    <row r="922" spans="5:6" x14ac:dyDescent="0.2">
      <c r="E922"/>
      <c r="F922"/>
    </row>
    <row r="923" spans="5:6" x14ac:dyDescent="0.2">
      <c r="E923"/>
      <c r="F923"/>
    </row>
    <row r="924" spans="5:6" x14ac:dyDescent="0.2">
      <c r="E924"/>
      <c r="F924"/>
    </row>
    <row r="925" spans="5:6" x14ac:dyDescent="0.2">
      <c r="E925"/>
      <c r="F925"/>
    </row>
    <row r="926" spans="5:6" x14ac:dyDescent="0.2">
      <c r="E926"/>
      <c r="F926"/>
    </row>
    <row r="927" spans="5:6" x14ac:dyDescent="0.2">
      <c r="E927"/>
      <c r="F927"/>
    </row>
    <row r="928" spans="5:6" x14ac:dyDescent="0.2">
      <c r="E928"/>
      <c r="F928"/>
    </row>
    <row r="929" spans="5:6" x14ac:dyDescent="0.2">
      <c r="E929"/>
      <c r="F929"/>
    </row>
    <row r="930" spans="5:6" x14ac:dyDescent="0.2">
      <c r="E930"/>
      <c r="F930"/>
    </row>
    <row r="931" spans="5:6" x14ac:dyDescent="0.2">
      <c r="E931"/>
      <c r="F931"/>
    </row>
    <row r="932" spans="5:6" x14ac:dyDescent="0.2">
      <c r="E932"/>
      <c r="F932"/>
    </row>
    <row r="933" spans="5:6" x14ac:dyDescent="0.2">
      <c r="E933"/>
      <c r="F933"/>
    </row>
    <row r="934" spans="5:6" x14ac:dyDescent="0.2">
      <c r="E934"/>
      <c r="F934"/>
    </row>
    <row r="935" spans="5:6" x14ac:dyDescent="0.2">
      <c r="E935"/>
      <c r="F935"/>
    </row>
    <row r="936" spans="5:6" x14ac:dyDescent="0.2">
      <c r="E936"/>
      <c r="F936"/>
    </row>
    <row r="937" spans="5:6" x14ac:dyDescent="0.2">
      <c r="E937"/>
      <c r="F937"/>
    </row>
    <row r="938" spans="5:6" x14ac:dyDescent="0.2">
      <c r="E938"/>
      <c r="F938"/>
    </row>
    <row r="939" spans="5:6" x14ac:dyDescent="0.2">
      <c r="E939"/>
      <c r="F939"/>
    </row>
    <row r="940" spans="5:6" x14ac:dyDescent="0.2">
      <c r="E940"/>
      <c r="F940"/>
    </row>
    <row r="941" spans="5:6" x14ac:dyDescent="0.2">
      <c r="E941"/>
      <c r="F941"/>
    </row>
    <row r="942" spans="5:6" x14ac:dyDescent="0.2">
      <c r="E942"/>
      <c r="F942"/>
    </row>
    <row r="943" spans="5:6" x14ac:dyDescent="0.2">
      <c r="E943"/>
      <c r="F943"/>
    </row>
    <row r="944" spans="5:6" x14ac:dyDescent="0.2">
      <c r="E944"/>
      <c r="F944"/>
    </row>
    <row r="945" spans="5:6" x14ac:dyDescent="0.2">
      <c r="E945"/>
      <c r="F945"/>
    </row>
    <row r="946" spans="5:6" x14ac:dyDescent="0.2">
      <c r="E946"/>
      <c r="F946"/>
    </row>
    <row r="947" spans="5:6" x14ac:dyDescent="0.2">
      <c r="E947"/>
      <c r="F947"/>
    </row>
    <row r="948" spans="5:6" x14ac:dyDescent="0.2">
      <c r="E948"/>
      <c r="F948"/>
    </row>
    <row r="949" spans="5:6" x14ac:dyDescent="0.2">
      <c r="E949"/>
      <c r="F949"/>
    </row>
    <row r="950" spans="5:6" x14ac:dyDescent="0.2">
      <c r="E950"/>
      <c r="F950"/>
    </row>
    <row r="951" spans="5:6" x14ac:dyDescent="0.2">
      <c r="E951"/>
      <c r="F951"/>
    </row>
    <row r="952" spans="5:6" x14ac:dyDescent="0.2">
      <c r="E952"/>
      <c r="F952"/>
    </row>
    <row r="953" spans="5:6" x14ac:dyDescent="0.2">
      <c r="E953"/>
      <c r="F953"/>
    </row>
    <row r="954" spans="5:6" x14ac:dyDescent="0.2">
      <c r="E954"/>
      <c r="F954"/>
    </row>
    <row r="955" spans="5:6" x14ac:dyDescent="0.2">
      <c r="E955"/>
      <c r="F955"/>
    </row>
    <row r="956" spans="5:6" x14ac:dyDescent="0.2">
      <c r="E956"/>
      <c r="F956"/>
    </row>
    <row r="957" spans="5:6" x14ac:dyDescent="0.2">
      <c r="E957"/>
      <c r="F957"/>
    </row>
    <row r="958" spans="5:6" x14ac:dyDescent="0.2">
      <c r="E958"/>
      <c r="F958"/>
    </row>
    <row r="959" spans="5:6" x14ac:dyDescent="0.2">
      <c r="E959"/>
      <c r="F959"/>
    </row>
    <row r="960" spans="5:6" x14ac:dyDescent="0.2">
      <c r="E960"/>
      <c r="F960"/>
    </row>
    <row r="961" spans="5:6" x14ac:dyDescent="0.2">
      <c r="E961"/>
      <c r="F961"/>
    </row>
    <row r="962" spans="5:6" x14ac:dyDescent="0.2">
      <c r="E962"/>
      <c r="F962"/>
    </row>
    <row r="963" spans="5:6" x14ac:dyDescent="0.2">
      <c r="E963"/>
      <c r="F963"/>
    </row>
    <row r="964" spans="5:6" x14ac:dyDescent="0.2">
      <c r="E964"/>
      <c r="F964"/>
    </row>
    <row r="965" spans="5:6" x14ac:dyDescent="0.2">
      <c r="E965"/>
      <c r="F965"/>
    </row>
    <row r="966" spans="5:6" x14ac:dyDescent="0.2">
      <c r="E966"/>
      <c r="F966"/>
    </row>
    <row r="967" spans="5:6" x14ac:dyDescent="0.2">
      <c r="E967"/>
      <c r="F967"/>
    </row>
    <row r="968" spans="5:6" x14ac:dyDescent="0.2">
      <c r="E968"/>
      <c r="F968"/>
    </row>
    <row r="969" spans="5:6" x14ac:dyDescent="0.2">
      <c r="E969"/>
      <c r="F969"/>
    </row>
    <row r="970" spans="5:6" x14ac:dyDescent="0.2">
      <c r="E970"/>
      <c r="F970"/>
    </row>
    <row r="971" spans="5:6" x14ac:dyDescent="0.2">
      <c r="E971"/>
      <c r="F971"/>
    </row>
    <row r="972" spans="5:6" x14ac:dyDescent="0.2">
      <c r="E972"/>
      <c r="F972"/>
    </row>
    <row r="973" spans="5:6" x14ac:dyDescent="0.2">
      <c r="E973"/>
      <c r="F973"/>
    </row>
    <row r="974" spans="5:6" x14ac:dyDescent="0.2">
      <c r="E974"/>
      <c r="F974"/>
    </row>
    <row r="975" spans="5:6" x14ac:dyDescent="0.2">
      <c r="E975"/>
      <c r="F975"/>
    </row>
    <row r="976" spans="5:6" x14ac:dyDescent="0.2">
      <c r="E976"/>
      <c r="F976"/>
    </row>
    <row r="977" spans="5:6" x14ac:dyDescent="0.2">
      <c r="E977"/>
      <c r="F977"/>
    </row>
    <row r="978" spans="5:6" x14ac:dyDescent="0.2">
      <c r="E978"/>
      <c r="F978"/>
    </row>
    <row r="979" spans="5:6" x14ac:dyDescent="0.2">
      <c r="E979"/>
      <c r="F979"/>
    </row>
    <row r="980" spans="5:6" x14ac:dyDescent="0.2">
      <c r="E980"/>
      <c r="F980"/>
    </row>
    <row r="981" spans="5:6" x14ac:dyDescent="0.2">
      <c r="E981"/>
      <c r="F981"/>
    </row>
    <row r="982" spans="5:6" x14ac:dyDescent="0.2">
      <c r="E982"/>
      <c r="F982"/>
    </row>
    <row r="983" spans="5:6" x14ac:dyDescent="0.2">
      <c r="E983"/>
      <c r="F983"/>
    </row>
    <row r="984" spans="5:6" x14ac:dyDescent="0.2">
      <c r="E984"/>
      <c r="F984"/>
    </row>
    <row r="985" spans="5:6" x14ac:dyDescent="0.2">
      <c r="E985"/>
      <c r="F985"/>
    </row>
    <row r="986" spans="5:6" x14ac:dyDescent="0.2">
      <c r="E986"/>
      <c r="F986"/>
    </row>
    <row r="987" spans="5:6" x14ac:dyDescent="0.2">
      <c r="E987"/>
      <c r="F987"/>
    </row>
    <row r="988" spans="5:6" x14ac:dyDescent="0.2">
      <c r="E988"/>
      <c r="F988"/>
    </row>
    <row r="989" spans="5:6" x14ac:dyDescent="0.2">
      <c r="E989"/>
      <c r="F989"/>
    </row>
    <row r="990" spans="5:6" x14ac:dyDescent="0.2">
      <c r="E990"/>
      <c r="F990"/>
    </row>
    <row r="991" spans="5:6" x14ac:dyDescent="0.2">
      <c r="E991"/>
      <c r="F991"/>
    </row>
    <row r="992" spans="5:6" x14ac:dyDescent="0.2">
      <c r="E992"/>
      <c r="F992"/>
    </row>
    <row r="993" spans="5:6" x14ac:dyDescent="0.2">
      <c r="E993"/>
      <c r="F993"/>
    </row>
    <row r="994" spans="5:6" x14ac:dyDescent="0.2">
      <c r="E994"/>
      <c r="F994"/>
    </row>
    <row r="995" spans="5:6" x14ac:dyDescent="0.2">
      <c r="E995"/>
      <c r="F995"/>
    </row>
    <row r="996" spans="5:6" x14ac:dyDescent="0.2">
      <c r="E996"/>
      <c r="F996"/>
    </row>
    <row r="997" spans="5:6" x14ac:dyDescent="0.2">
      <c r="E997"/>
      <c r="F997"/>
    </row>
    <row r="998" spans="5:6" x14ac:dyDescent="0.2">
      <c r="E998"/>
      <c r="F998"/>
    </row>
    <row r="999" spans="5:6" x14ac:dyDescent="0.2">
      <c r="E999"/>
      <c r="F999"/>
    </row>
    <row r="1000" spans="5:6" x14ac:dyDescent="0.2">
      <c r="E1000"/>
      <c r="F1000"/>
    </row>
    <row r="1001" spans="5:6" x14ac:dyDescent="0.2">
      <c r="E1001"/>
      <c r="F1001"/>
    </row>
    <row r="1002" spans="5:6" x14ac:dyDescent="0.2">
      <c r="E1002"/>
      <c r="F1002"/>
    </row>
    <row r="1003" spans="5:6" x14ac:dyDescent="0.2">
      <c r="E1003"/>
      <c r="F1003"/>
    </row>
    <row r="1004" spans="5:6" x14ac:dyDescent="0.2">
      <c r="E1004"/>
      <c r="F1004"/>
    </row>
    <row r="1005" spans="5:6" x14ac:dyDescent="0.2">
      <c r="E1005"/>
      <c r="F1005"/>
    </row>
    <row r="1006" spans="5:6" x14ac:dyDescent="0.2">
      <c r="E1006"/>
      <c r="F1006"/>
    </row>
    <row r="1007" spans="5:6" x14ac:dyDescent="0.2">
      <c r="E1007"/>
      <c r="F1007"/>
    </row>
    <row r="1008" spans="5:6" x14ac:dyDescent="0.2">
      <c r="E1008"/>
      <c r="F1008"/>
    </row>
    <row r="1009" spans="5:6" x14ac:dyDescent="0.2">
      <c r="E1009"/>
      <c r="F1009"/>
    </row>
    <row r="1010" spans="5:6" x14ac:dyDescent="0.2">
      <c r="E1010"/>
      <c r="F1010"/>
    </row>
    <row r="1011" spans="5:6" x14ac:dyDescent="0.2">
      <c r="E1011"/>
      <c r="F1011"/>
    </row>
    <row r="1012" spans="5:6" x14ac:dyDescent="0.2">
      <c r="E1012"/>
      <c r="F1012"/>
    </row>
    <row r="1013" spans="5:6" x14ac:dyDescent="0.2">
      <c r="E1013"/>
      <c r="F1013"/>
    </row>
    <row r="1014" spans="5:6" x14ac:dyDescent="0.2">
      <c r="E1014"/>
      <c r="F1014"/>
    </row>
    <row r="1015" spans="5:6" x14ac:dyDescent="0.2">
      <c r="E1015"/>
      <c r="F1015"/>
    </row>
    <row r="1016" spans="5:6" x14ac:dyDescent="0.2">
      <c r="E1016"/>
      <c r="F1016"/>
    </row>
    <row r="1017" spans="5:6" x14ac:dyDescent="0.2">
      <c r="E1017"/>
      <c r="F1017"/>
    </row>
    <row r="1018" spans="5:6" x14ac:dyDescent="0.2">
      <c r="E1018"/>
      <c r="F1018"/>
    </row>
    <row r="1019" spans="5:6" x14ac:dyDescent="0.2">
      <c r="E1019"/>
      <c r="F1019"/>
    </row>
    <row r="1020" spans="5:6" x14ac:dyDescent="0.2">
      <c r="E1020"/>
      <c r="F1020"/>
    </row>
    <row r="1021" spans="5:6" x14ac:dyDescent="0.2">
      <c r="E1021"/>
      <c r="F1021"/>
    </row>
    <row r="1022" spans="5:6" x14ac:dyDescent="0.2">
      <c r="E1022"/>
      <c r="F1022"/>
    </row>
    <row r="1023" spans="5:6" x14ac:dyDescent="0.2">
      <c r="E1023"/>
      <c r="F1023"/>
    </row>
    <row r="1024" spans="5:6" x14ac:dyDescent="0.2">
      <c r="E1024"/>
      <c r="F1024"/>
    </row>
    <row r="1025" spans="5:6" x14ac:dyDescent="0.2">
      <c r="E1025"/>
      <c r="F1025"/>
    </row>
    <row r="1026" spans="5:6" x14ac:dyDescent="0.2">
      <c r="E1026"/>
      <c r="F1026"/>
    </row>
    <row r="1027" spans="5:6" x14ac:dyDescent="0.2">
      <c r="E1027"/>
      <c r="F1027"/>
    </row>
    <row r="1028" spans="5:6" x14ac:dyDescent="0.2">
      <c r="E1028"/>
      <c r="F1028"/>
    </row>
    <row r="1029" spans="5:6" x14ac:dyDescent="0.2">
      <c r="E1029"/>
      <c r="F1029"/>
    </row>
    <row r="1030" spans="5:6" x14ac:dyDescent="0.2">
      <c r="E1030"/>
      <c r="F1030"/>
    </row>
    <row r="1031" spans="5:6" x14ac:dyDescent="0.2">
      <c r="E1031"/>
      <c r="F1031"/>
    </row>
    <row r="1032" spans="5:6" x14ac:dyDescent="0.2">
      <c r="E1032"/>
      <c r="F1032"/>
    </row>
    <row r="1033" spans="5:6" x14ac:dyDescent="0.2">
      <c r="E1033"/>
      <c r="F1033"/>
    </row>
    <row r="1034" spans="5:6" x14ac:dyDescent="0.2">
      <c r="E1034"/>
      <c r="F1034"/>
    </row>
    <row r="1035" spans="5:6" x14ac:dyDescent="0.2">
      <c r="E1035"/>
      <c r="F1035"/>
    </row>
    <row r="1036" spans="5:6" x14ac:dyDescent="0.2">
      <c r="E1036"/>
      <c r="F1036"/>
    </row>
    <row r="1037" spans="5:6" x14ac:dyDescent="0.2">
      <c r="E1037"/>
      <c r="F1037"/>
    </row>
    <row r="1038" spans="5:6" x14ac:dyDescent="0.2">
      <c r="E1038"/>
      <c r="F1038"/>
    </row>
    <row r="1039" spans="5:6" x14ac:dyDescent="0.2">
      <c r="E1039"/>
      <c r="F1039"/>
    </row>
    <row r="1040" spans="5:6" x14ac:dyDescent="0.2">
      <c r="E1040"/>
      <c r="F1040"/>
    </row>
    <row r="1041" spans="5:6" x14ac:dyDescent="0.2">
      <c r="E1041"/>
      <c r="F1041"/>
    </row>
    <row r="1042" spans="5:6" x14ac:dyDescent="0.2">
      <c r="E1042"/>
      <c r="F1042"/>
    </row>
    <row r="1043" spans="5:6" x14ac:dyDescent="0.2">
      <c r="E1043"/>
      <c r="F1043"/>
    </row>
    <row r="1044" spans="5:6" x14ac:dyDescent="0.2">
      <c r="E1044"/>
      <c r="F1044"/>
    </row>
    <row r="1045" spans="5:6" x14ac:dyDescent="0.2">
      <c r="E1045"/>
      <c r="F1045"/>
    </row>
    <row r="1046" spans="5:6" x14ac:dyDescent="0.2">
      <c r="E1046"/>
      <c r="F1046"/>
    </row>
    <row r="1047" spans="5:6" x14ac:dyDescent="0.2">
      <c r="E1047"/>
      <c r="F1047"/>
    </row>
    <row r="1048" spans="5:6" x14ac:dyDescent="0.2">
      <c r="E1048"/>
      <c r="F1048"/>
    </row>
    <row r="1049" spans="5:6" x14ac:dyDescent="0.2">
      <c r="E1049"/>
      <c r="F1049"/>
    </row>
    <row r="1050" spans="5:6" x14ac:dyDescent="0.2">
      <c r="E1050"/>
      <c r="F1050"/>
    </row>
    <row r="1051" spans="5:6" x14ac:dyDescent="0.2">
      <c r="E1051"/>
      <c r="F1051"/>
    </row>
    <row r="1052" spans="5:6" x14ac:dyDescent="0.2">
      <c r="E1052"/>
      <c r="F1052"/>
    </row>
    <row r="1053" spans="5:6" x14ac:dyDescent="0.2">
      <c r="E1053"/>
      <c r="F1053"/>
    </row>
    <row r="1054" spans="5:6" x14ac:dyDescent="0.2">
      <c r="E1054"/>
      <c r="F1054"/>
    </row>
    <row r="1055" spans="5:6" x14ac:dyDescent="0.2">
      <c r="E1055"/>
      <c r="F1055"/>
    </row>
    <row r="1056" spans="5:6" x14ac:dyDescent="0.2">
      <c r="E1056"/>
      <c r="F1056"/>
    </row>
    <row r="1057" spans="5:6" x14ac:dyDescent="0.2">
      <c r="E1057"/>
      <c r="F1057"/>
    </row>
    <row r="1058" spans="5:6" x14ac:dyDescent="0.2">
      <c r="E1058"/>
      <c r="F1058"/>
    </row>
    <row r="1059" spans="5:6" x14ac:dyDescent="0.2">
      <c r="E1059"/>
      <c r="F1059"/>
    </row>
    <row r="1060" spans="5:6" x14ac:dyDescent="0.2">
      <c r="E1060"/>
      <c r="F1060"/>
    </row>
    <row r="1061" spans="5:6" x14ac:dyDescent="0.2">
      <c r="E1061"/>
      <c r="F1061"/>
    </row>
    <row r="1062" spans="5:6" x14ac:dyDescent="0.2">
      <c r="E1062"/>
      <c r="F1062"/>
    </row>
    <row r="1063" spans="5:6" x14ac:dyDescent="0.2">
      <c r="E1063"/>
      <c r="F1063"/>
    </row>
    <row r="1064" spans="5:6" x14ac:dyDescent="0.2">
      <c r="E1064"/>
      <c r="F1064"/>
    </row>
    <row r="1065" spans="5:6" x14ac:dyDescent="0.2">
      <c r="E1065"/>
      <c r="F1065"/>
    </row>
    <row r="1066" spans="5:6" x14ac:dyDescent="0.2">
      <c r="E1066"/>
      <c r="F1066"/>
    </row>
    <row r="1067" spans="5:6" x14ac:dyDescent="0.2">
      <c r="E1067"/>
      <c r="F1067"/>
    </row>
    <row r="1068" spans="5:6" x14ac:dyDescent="0.2">
      <c r="E1068"/>
      <c r="F1068"/>
    </row>
    <row r="1069" spans="5:6" x14ac:dyDescent="0.2">
      <c r="E1069"/>
      <c r="F1069"/>
    </row>
    <row r="1070" spans="5:6" x14ac:dyDescent="0.2">
      <c r="E1070"/>
      <c r="F1070"/>
    </row>
    <row r="1071" spans="5:6" x14ac:dyDescent="0.2">
      <c r="E1071"/>
      <c r="F1071"/>
    </row>
    <row r="1072" spans="5:6" x14ac:dyDescent="0.2">
      <c r="E1072"/>
      <c r="F1072"/>
    </row>
    <row r="1073" spans="5:6" x14ac:dyDescent="0.2">
      <c r="E1073"/>
      <c r="F1073"/>
    </row>
    <row r="1074" spans="5:6" x14ac:dyDescent="0.2">
      <c r="E1074"/>
      <c r="F1074"/>
    </row>
    <row r="1075" spans="5:6" x14ac:dyDescent="0.2">
      <c r="E1075"/>
      <c r="F1075"/>
    </row>
    <row r="1076" spans="5:6" x14ac:dyDescent="0.2">
      <c r="E1076"/>
      <c r="F1076"/>
    </row>
    <row r="1077" spans="5:6" x14ac:dyDescent="0.2">
      <c r="E1077"/>
      <c r="F1077"/>
    </row>
    <row r="1078" spans="5:6" x14ac:dyDescent="0.2">
      <c r="E1078"/>
      <c r="F1078"/>
    </row>
    <row r="1079" spans="5:6" x14ac:dyDescent="0.2">
      <c r="E1079"/>
      <c r="F1079"/>
    </row>
    <row r="1080" spans="5:6" x14ac:dyDescent="0.2">
      <c r="E1080"/>
      <c r="F1080"/>
    </row>
    <row r="1081" spans="5:6" x14ac:dyDescent="0.2">
      <c r="E1081"/>
      <c r="F1081"/>
    </row>
    <row r="1082" spans="5:6" x14ac:dyDescent="0.2">
      <c r="E1082"/>
      <c r="F1082"/>
    </row>
    <row r="1083" spans="5:6" x14ac:dyDescent="0.2">
      <c r="E1083"/>
      <c r="F1083"/>
    </row>
    <row r="1084" spans="5:6" x14ac:dyDescent="0.2">
      <c r="E1084"/>
      <c r="F1084"/>
    </row>
    <row r="1085" spans="5:6" x14ac:dyDescent="0.2">
      <c r="E1085"/>
      <c r="F1085"/>
    </row>
    <row r="1086" spans="5:6" x14ac:dyDescent="0.2">
      <c r="E1086"/>
      <c r="F1086"/>
    </row>
    <row r="1087" spans="5:6" x14ac:dyDescent="0.2">
      <c r="E1087"/>
      <c r="F1087"/>
    </row>
    <row r="1088" spans="5:6" x14ac:dyDescent="0.2">
      <c r="E1088"/>
      <c r="F1088"/>
    </row>
    <row r="1089" spans="5:6" x14ac:dyDescent="0.2">
      <c r="E1089"/>
      <c r="F1089"/>
    </row>
    <row r="1090" spans="5:6" x14ac:dyDescent="0.2">
      <c r="E1090"/>
      <c r="F1090"/>
    </row>
    <row r="1091" spans="5:6" x14ac:dyDescent="0.2">
      <c r="E1091"/>
      <c r="F1091"/>
    </row>
    <row r="1092" spans="5:6" x14ac:dyDescent="0.2">
      <c r="E1092"/>
      <c r="F1092"/>
    </row>
    <row r="1093" spans="5:6" x14ac:dyDescent="0.2">
      <c r="E1093"/>
      <c r="F1093"/>
    </row>
    <row r="1094" spans="5:6" x14ac:dyDescent="0.2">
      <c r="E1094"/>
      <c r="F1094"/>
    </row>
    <row r="1095" spans="5:6" x14ac:dyDescent="0.2">
      <c r="E1095"/>
      <c r="F1095"/>
    </row>
    <row r="1096" spans="5:6" x14ac:dyDescent="0.2">
      <c r="E1096"/>
      <c r="F1096"/>
    </row>
    <row r="1097" spans="5:6" x14ac:dyDescent="0.2">
      <c r="E1097"/>
      <c r="F1097"/>
    </row>
    <row r="1098" spans="5:6" x14ac:dyDescent="0.2">
      <c r="E1098"/>
      <c r="F1098"/>
    </row>
    <row r="1099" spans="5:6" x14ac:dyDescent="0.2">
      <c r="E1099"/>
      <c r="F1099"/>
    </row>
    <row r="1100" spans="5:6" x14ac:dyDescent="0.2">
      <c r="E1100"/>
      <c r="F1100"/>
    </row>
    <row r="1101" spans="5:6" x14ac:dyDescent="0.2">
      <c r="E1101"/>
      <c r="F1101"/>
    </row>
    <row r="1102" spans="5:6" x14ac:dyDescent="0.2">
      <c r="E1102"/>
      <c r="F1102"/>
    </row>
    <row r="1103" spans="5:6" x14ac:dyDescent="0.2">
      <c r="E1103"/>
      <c r="F1103"/>
    </row>
    <row r="1104" spans="5:6" x14ac:dyDescent="0.2">
      <c r="E1104"/>
      <c r="F1104"/>
    </row>
    <row r="1105" spans="5:6" x14ac:dyDescent="0.2">
      <c r="E1105"/>
      <c r="F1105"/>
    </row>
    <row r="1106" spans="5:6" x14ac:dyDescent="0.2">
      <c r="E1106"/>
      <c r="F1106"/>
    </row>
    <row r="1107" spans="5:6" x14ac:dyDescent="0.2">
      <c r="E1107"/>
      <c r="F1107"/>
    </row>
    <row r="1108" spans="5:6" x14ac:dyDescent="0.2">
      <c r="E1108"/>
      <c r="F1108"/>
    </row>
    <row r="1109" spans="5:6" x14ac:dyDescent="0.2">
      <c r="E1109"/>
      <c r="F1109"/>
    </row>
    <row r="1110" spans="5:6" x14ac:dyDescent="0.2">
      <c r="E1110"/>
      <c r="F1110"/>
    </row>
    <row r="1111" spans="5:6" x14ac:dyDescent="0.2">
      <c r="E1111"/>
      <c r="F1111"/>
    </row>
    <row r="1112" spans="5:6" x14ac:dyDescent="0.2">
      <c r="E1112"/>
      <c r="F1112"/>
    </row>
    <row r="1113" spans="5:6" x14ac:dyDescent="0.2">
      <c r="E1113"/>
      <c r="F1113"/>
    </row>
    <row r="1114" spans="5:6" x14ac:dyDescent="0.2">
      <c r="E1114"/>
      <c r="F1114"/>
    </row>
    <row r="1115" spans="5:6" x14ac:dyDescent="0.2">
      <c r="E1115"/>
      <c r="F1115"/>
    </row>
    <row r="1116" spans="5:6" x14ac:dyDescent="0.2">
      <c r="E1116"/>
      <c r="F1116"/>
    </row>
    <row r="1117" spans="5:6" x14ac:dyDescent="0.2">
      <c r="E1117"/>
      <c r="F1117"/>
    </row>
    <row r="1118" spans="5:6" x14ac:dyDescent="0.2">
      <c r="E1118"/>
      <c r="F1118"/>
    </row>
    <row r="1119" spans="5:6" x14ac:dyDescent="0.2">
      <c r="E1119"/>
      <c r="F1119"/>
    </row>
    <row r="1120" spans="5:6" x14ac:dyDescent="0.2">
      <c r="E1120"/>
      <c r="F1120"/>
    </row>
    <row r="1121" spans="5:6" x14ac:dyDescent="0.2">
      <c r="E1121"/>
      <c r="F1121"/>
    </row>
    <row r="1122" spans="5:6" x14ac:dyDescent="0.2">
      <c r="E1122"/>
      <c r="F1122"/>
    </row>
    <row r="1123" spans="5:6" x14ac:dyDescent="0.2">
      <c r="E1123"/>
      <c r="F1123"/>
    </row>
    <row r="1124" spans="5:6" x14ac:dyDescent="0.2">
      <c r="E1124"/>
      <c r="F1124"/>
    </row>
    <row r="1125" spans="5:6" x14ac:dyDescent="0.2">
      <c r="E1125"/>
      <c r="F1125"/>
    </row>
    <row r="1126" spans="5:6" x14ac:dyDescent="0.2">
      <c r="E1126"/>
      <c r="F1126"/>
    </row>
    <row r="1127" spans="5:6" x14ac:dyDescent="0.2">
      <c r="E1127"/>
      <c r="F1127"/>
    </row>
    <row r="1128" spans="5:6" x14ac:dyDescent="0.2">
      <c r="E1128"/>
      <c r="F1128"/>
    </row>
    <row r="1129" spans="5:6" x14ac:dyDescent="0.2">
      <c r="E1129"/>
      <c r="F1129"/>
    </row>
    <row r="1130" spans="5:6" x14ac:dyDescent="0.2">
      <c r="E1130"/>
      <c r="F1130"/>
    </row>
    <row r="1131" spans="5:6" x14ac:dyDescent="0.2">
      <c r="E1131"/>
      <c r="F1131"/>
    </row>
    <row r="1132" spans="5:6" x14ac:dyDescent="0.2">
      <c r="E1132"/>
      <c r="F1132"/>
    </row>
    <row r="1133" spans="5:6" x14ac:dyDescent="0.2">
      <c r="E1133"/>
      <c r="F1133"/>
    </row>
    <row r="1134" spans="5:6" x14ac:dyDescent="0.2">
      <c r="E1134"/>
      <c r="F1134"/>
    </row>
    <row r="1135" spans="5:6" x14ac:dyDescent="0.2">
      <c r="E1135"/>
      <c r="F1135"/>
    </row>
    <row r="1136" spans="5:6" x14ac:dyDescent="0.2">
      <c r="E1136"/>
      <c r="F1136"/>
    </row>
    <row r="1137" spans="5:6" x14ac:dyDescent="0.2">
      <c r="E1137"/>
      <c r="F1137"/>
    </row>
    <row r="1138" spans="5:6" x14ac:dyDescent="0.2">
      <c r="E1138"/>
      <c r="F1138"/>
    </row>
    <row r="1139" spans="5:6" x14ac:dyDescent="0.2">
      <c r="E1139"/>
      <c r="F1139"/>
    </row>
    <row r="1140" spans="5:6" x14ac:dyDescent="0.2">
      <c r="E1140"/>
      <c r="F1140"/>
    </row>
    <row r="1141" spans="5:6" x14ac:dyDescent="0.2">
      <c r="E1141"/>
      <c r="F1141"/>
    </row>
    <row r="1142" spans="5:6" x14ac:dyDescent="0.2">
      <c r="E1142"/>
      <c r="F1142"/>
    </row>
    <row r="1143" spans="5:6" x14ac:dyDescent="0.2">
      <c r="E1143"/>
      <c r="F1143"/>
    </row>
    <row r="1144" spans="5:6" x14ac:dyDescent="0.2">
      <c r="E1144"/>
      <c r="F1144"/>
    </row>
    <row r="1145" spans="5:6" x14ac:dyDescent="0.2">
      <c r="E1145"/>
      <c r="F1145"/>
    </row>
    <row r="1146" spans="5:6" x14ac:dyDescent="0.2">
      <c r="E1146"/>
      <c r="F1146"/>
    </row>
    <row r="1147" spans="5:6" x14ac:dyDescent="0.2">
      <c r="E1147"/>
      <c r="F1147"/>
    </row>
    <row r="1148" spans="5:6" x14ac:dyDescent="0.2">
      <c r="E1148"/>
      <c r="F1148"/>
    </row>
    <row r="1149" spans="5:6" x14ac:dyDescent="0.2">
      <c r="E1149"/>
      <c r="F1149"/>
    </row>
    <row r="1150" spans="5:6" x14ac:dyDescent="0.2">
      <c r="E1150"/>
      <c r="F1150"/>
    </row>
    <row r="1151" spans="5:6" x14ac:dyDescent="0.2">
      <c r="E1151"/>
      <c r="F1151"/>
    </row>
    <row r="1152" spans="5:6" x14ac:dyDescent="0.2">
      <c r="E1152"/>
      <c r="F1152"/>
    </row>
    <row r="1153" spans="5:6" x14ac:dyDescent="0.2">
      <c r="E1153"/>
      <c r="F1153"/>
    </row>
    <row r="1154" spans="5:6" x14ac:dyDescent="0.2">
      <c r="E1154"/>
      <c r="F1154"/>
    </row>
    <row r="1155" spans="5:6" x14ac:dyDescent="0.2">
      <c r="E1155"/>
      <c r="F1155"/>
    </row>
    <row r="1156" spans="5:6" x14ac:dyDescent="0.2">
      <c r="E1156"/>
      <c r="F1156"/>
    </row>
    <row r="1157" spans="5:6" x14ac:dyDescent="0.2">
      <c r="E1157"/>
      <c r="F1157"/>
    </row>
    <row r="1158" spans="5:6" x14ac:dyDescent="0.2">
      <c r="E1158"/>
      <c r="F1158"/>
    </row>
    <row r="1159" spans="5:6" x14ac:dyDescent="0.2">
      <c r="E1159"/>
      <c r="F1159"/>
    </row>
    <row r="1160" spans="5:6" x14ac:dyDescent="0.2">
      <c r="E1160"/>
      <c r="F1160"/>
    </row>
    <row r="1161" spans="5:6" x14ac:dyDescent="0.2">
      <c r="E1161"/>
      <c r="F1161"/>
    </row>
    <row r="1162" spans="5:6" x14ac:dyDescent="0.2">
      <c r="E1162"/>
      <c r="F1162"/>
    </row>
    <row r="1163" spans="5:6" x14ac:dyDescent="0.2">
      <c r="E1163"/>
      <c r="F1163"/>
    </row>
    <row r="1164" spans="5:6" x14ac:dyDescent="0.2">
      <c r="E1164"/>
      <c r="F1164"/>
    </row>
    <row r="1165" spans="5:6" x14ac:dyDescent="0.2">
      <c r="E1165"/>
      <c r="F1165"/>
    </row>
    <row r="1166" spans="5:6" x14ac:dyDescent="0.2">
      <c r="E1166"/>
      <c r="F1166"/>
    </row>
    <row r="1167" spans="5:6" x14ac:dyDescent="0.2">
      <c r="E1167"/>
      <c r="F1167"/>
    </row>
    <row r="1168" spans="5:6" x14ac:dyDescent="0.2">
      <c r="E1168"/>
      <c r="F1168"/>
    </row>
    <row r="1169" spans="5:6" x14ac:dyDescent="0.2">
      <c r="E1169"/>
      <c r="F1169"/>
    </row>
    <row r="1170" spans="5:6" x14ac:dyDescent="0.2">
      <c r="E1170"/>
      <c r="F1170"/>
    </row>
    <row r="1171" spans="5:6" x14ac:dyDescent="0.2">
      <c r="E1171"/>
      <c r="F1171"/>
    </row>
    <row r="1172" spans="5:6" x14ac:dyDescent="0.2">
      <c r="E1172"/>
      <c r="F1172"/>
    </row>
    <row r="1173" spans="5:6" x14ac:dyDescent="0.2">
      <c r="E1173"/>
      <c r="F1173"/>
    </row>
    <row r="1174" spans="5:6" x14ac:dyDescent="0.2">
      <c r="E1174"/>
      <c r="F1174"/>
    </row>
    <row r="1175" spans="5:6" x14ac:dyDescent="0.2">
      <c r="E1175"/>
      <c r="F1175"/>
    </row>
    <row r="1176" spans="5:6" x14ac:dyDescent="0.2">
      <c r="E1176"/>
      <c r="F1176"/>
    </row>
    <row r="1177" spans="5:6" x14ac:dyDescent="0.2">
      <c r="E1177"/>
      <c r="F1177"/>
    </row>
    <row r="1178" spans="5:6" x14ac:dyDescent="0.2">
      <c r="E1178"/>
      <c r="F1178"/>
    </row>
    <row r="1179" spans="5:6" x14ac:dyDescent="0.2">
      <c r="E1179"/>
      <c r="F1179"/>
    </row>
    <row r="1180" spans="5:6" x14ac:dyDescent="0.2">
      <c r="E1180"/>
      <c r="F1180"/>
    </row>
    <row r="1181" spans="5:6" x14ac:dyDescent="0.2">
      <c r="E1181"/>
      <c r="F1181"/>
    </row>
    <row r="1182" spans="5:6" x14ac:dyDescent="0.2">
      <c r="E1182"/>
      <c r="F1182"/>
    </row>
    <row r="1183" spans="5:6" x14ac:dyDescent="0.2">
      <c r="E1183"/>
      <c r="F1183"/>
    </row>
    <row r="1184" spans="5:6" x14ac:dyDescent="0.2">
      <c r="E1184"/>
      <c r="F1184"/>
    </row>
    <row r="1185" spans="5:6" x14ac:dyDescent="0.2">
      <c r="E1185"/>
      <c r="F1185"/>
    </row>
    <row r="1186" spans="5:6" x14ac:dyDescent="0.2">
      <c r="E1186"/>
      <c r="F1186"/>
    </row>
    <row r="1187" spans="5:6" x14ac:dyDescent="0.2">
      <c r="E1187"/>
      <c r="F1187"/>
    </row>
    <row r="1188" spans="5:6" x14ac:dyDescent="0.2">
      <c r="E1188"/>
      <c r="F1188"/>
    </row>
    <row r="1189" spans="5:6" x14ac:dyDescent="0.2">
      <c r="E1189"/>
      <c r="F1189"/>
    </row>
    <row r="1190" spans="5:6" x14ac:dyDescent="0.2">
      <c r="E1190"/>
      <c r="F1190"/>
    </row>
    <row r="1191" spans="5:6" x14ac:dyDescent="0.2">
      <c r="E1191"/>
      <c r="F1191"/>
    </row>
    <row r="1192" spans="5:6" x14ac:dyDescent="0.2">
      <c r="E1192"/>
      <c r="F1192"/>
    </row>
    <row r="1193" spans="5:6" x14ac:dyDescent="0.2">
      <c r="E1193"/>
      <c r="F1193"/>
    </row>
    <row r="1194" spans="5:6" x14ac:dyDescent="0.2">
      <c r="E1194"/>
      <c r="F1194"/>
    </row>
    <row r="1195" spans="5:6" x14ac:dyDescent="0.2">
      <c r="E1195"/>
      <c r="F1195"/>
    </row>
    <row r="1196" spans="5:6" x14ac:dyDescent="0.2">
      <c r="E1196"/>
      <c r="F1196"/>
    </row>
    <row r="1197" spans="5:6" x14ac:dyDescent="0.2">
      <c r="E1197"/>
      <c r="F1197"/>
    </row>
    <row r="1198" spans="5:6" x14ac:dyDescent="0.2">
      <c r="E1198"/>
      <c r="F1198"/>
    </row>
    <row r="1199" spans="5:6" x14ac:dyDescent="0.2">
      <c r="E1199"/>
      <c r="F1199"/>
    </row>
    <row r="1200" spans="5:6" x14ac:dyDescent="0.2">
      <c r="E1200"/>
      <c r="F1200"/>
    </row>
    <row r="1201" spans="5:6" x14ac:dyDescent="0.2">
      <c r="E1201"/>
      <c r="F1201"/>
    </row>
    <row r="1202" spans="5:6" x14ac:dyDescent="0.2">
      <c r="E1202"/>
      <c r="F1202"/>
    </row>
    <row r="1203" spans="5:6" x14ac:dyDescent="0.2">
      <c r="E1203"/>
      <c r="F1203"/>
    </row>
    <row r="1204" spans="5:6" x14ac:dyDescent="0.2">
      <c r="E1204"/>
      <c r="F1204"/>
    </row>
    <row r="1205" spans="5:6" x14ac:dyDescent="0.2">
      <c r="E1205"/>
      <c r="F1205"/>
    </row>
    <row r="1206" spans="5:6" x14ac:dyDescent="0.2">
      <c r="E1206"/>
      <c r="F1206"/>
    </row>
    <row r="1207" spans="5:6" x14ac:dyDescent="0.2">
      <c r="E1207"/>
      <c r="F1207"/>
    </row>
    <row r="1208" spans="5:6" x14ac:dyDescent="0.2">
      <c r="E1208"/>
      <c r="F1208"/>
    </row>
    <row r="1209" spans="5:6" x14ac:dyDescent="0.2">
      <c r="E1209"/>
      <c r="F1209"/>
    </row>
    <row r="1210" spans="5:6" x14ac:dyDescent="0.2">
      <c r="E1210"/>
      <c r="F1210"/>
    </row>
    <row r="1211" spans="5:6" x14ac:dyDescent="0.2">
      <c r="E1211"/>
      <c r="F1211"/>
    </row>
    <row r="1212" spans="5:6" x14ac:dyDescent="0.2">
      <c r="E1212"/>
      <c r="F1212"/>
    </row>
    <row r="1213" spans="5:6" x14ac:dyDescent="0.2">
      <c r="E1213"/>
      <c r="F1213"/>
    </row>
    <row r="1214" spans="5:6" x14ac:dyDescent="0.2">
      <c r="E1214"/>
      <c r="F1214"/>
    </row>
    <row r="1215" spans="5:6" x14ac:dyDescent="0.2">
      <c r="E1215"/>
      <c r="F1215"/>
    </row>
    <row r="1216" spans="5:6" x14ac:dyDescent="0.2">
      <c r="E1216"/>
      <c r="F1216"/>
    </row>
    <row r="1217" spans="5:6" x14ac:dyDescent="0.2">
      <c r="E1217"/>
      <c r="F1217"/>
    </row>
    <row r="1218" spans="5:6" x14ac:dyDescent="0.2">
      <c r="E1218"/>
      <c r="F1218"/>
    </row>
    <row r="1219" spans="5:6" x14ac:dyDescent="0.2">
      <c r="E1219"/>
      <c r="F1219"/>
    </row>
    <row r="1220" spans="5:6" x14ac:dyDescent="0.2">
      <c r="E1220"/>
      <c r="F1220"/>
    </row>
    <row r="1221" spans="5:6" x14ac:dyDescent="0.2">
      <c r="E1221"/>
      <c r="F1221"/>
    </row>
    <row r="1222" spans="5:6" x14ac:dyDescent="0.2">
      <c r="E1222"/>
      <c r="F1222"/>
    </row>
    <row r="1223" spans="5:6" x14ac:dyDescent="0.2">
      <c r="E1223"/>
      <c r="F1223"/>
    </row>
    <row r="1224" spans="5:6" x14ac:dyDescent="0.2">
      <c r="E1224"/>
      <c r="F1224"/>
    </row>
    <row r="1225" spans="5:6" x14ac:dyDescent="0.2">
      <c r="E1225"/>
      <c r="F1225"/>
    </row>
    <row r="1226" spans="5:6" x14ac:dyDescent="0.2">
      <c r="E1226"/>
      <c r="F1226"/>
    </row>
    <row r="1227" spans="5:6" x14ac:dyDescent="0.2">
      <c r="E1227"/>
      <c r="F1227"/>
    </row>
    <row r="1228" spans="5:6" x14ac:dyDescent="0.2">
      <c r="E1228"/>
      <c r="F1228"/>
    </row>
    <row r="1229" spans="5:6" x14ac:dyDescent="0.2">
      <c r="E1229"/>
      <c r="F1229"/>
    </row>
    <row r="1230" spans="5:6" x14ac:dyDescent="0.2">
      <c r="E1230"/>
      <c r="F1230"/>
    </row>
    <row r="1231" spans="5:6" x14ac:dyDescent="0.2">
      <c r="E1231"/>
      <c r="F1231"/>
    </row>
    <row r="1232" spans="5:6" x14ac:dyDescent="0.2">
      <c r="E1232"/>
      <c r="F1232"/>
    </row>
    <row r="1233" spans="5:6" x14ac:dyDescent="0.2">
      <c r="E1233"/>
      <c r="F1233"/>
    </row>
    <row r="1234" spans="5:6" x14ac:dyDescent="0.2">
      <c r="E1234"/>
      <c r="F1234"/>
    </row>
    <row r="1235" spans="5:6" x14ac:dyDescent="0.2">
      <c r="E1235"/>
      <c r="F1235"/>
    </row>
    <row r="1236" spans="5:6" x14ac:dyDescent="0.2">
      <c r="E1236"/>
      <c r="F1236"/>
    </row>
    <row r="1237" spans="5:6" x14ac:dyDescent="0.2">
      <c r="E1237"/>
      <c r="F1237"/>
    </row>
    <row r="1238" spans="5:6" x14ac:dyDescent="0.2">
      <c r="E1238"/>
      <c r="F1238"/>
    </row>
    <row r="1239" spans="5:6" x14ac:dyDescent="0.2">
      <c r="E1239"/>
      <c r="F1239"/>
    </row>
    <row r="1240" spans="5:6" x14ac:dyDescent="0.2">
      <c r="E1240"/>
      <c r="F1240"/>
    </row>
    <row r="1241" spans="5:6" x14ac:dyDescent="0.2">
      <c r="E1241"/>
      <c r="F1241"/>
    </row>
    <row r="1242" spans="5:6" x14ac:dyDescent="0.2">
      <c r="E1242"/>
      <c r="F1242"/>
    </row>
    <row r="1243" spans="5:6" x14ac:dyDescent="0.2">
      <c r="E1243"/>
      <c r="F1243"/>
    </row>
    <row r="1244" spans="5:6" x14ac:dyDescent="0.2">
      <c r="E1244"/>
      <c r="F1244"/>
    </row>
    <row r="1245" spans="5:6" x14ac:dyDescent="0.2">
      <c r="E1245"/>
      <c r="F1245"/>
    </row>
    <row r="1246" spans="5:6" x14ac:dyDescent="0.2">
      <c r="E1246"/>
      <c r="F1246"/>
    </row>
    <row r="1247" spans="5:6" x14ac:dyDescent="0.2">
      <c r="E1247"/>
      <c r="F1247"/>
    </row>
    <row r="1248" spans="5:6" x14ac:dyDescent="0.2">
      <c r="E1248"/>
      <c r="F1248"/>
    </row>
    <row r="1249" spans="5:6" x14ac:dyDescent="0.2">
      <c r="E1249"/>
      <c r="F1249"/>
    </row>
    <row r="1250" spans="5:6" x14ac:dyDescent="0.2">
      <c r="E1250"/>
      <c r="F1250"/>
    </row>
    <row r="1251" spans="5:6" x14ac:dyDescent="0.2">
      <c r="E1251"/>
      <c r="F1251"/>
    </row>
    <row r="1252" spans="5:6" x14ac:dyDescent="0.2">
      <c r="E1252"/>
      <c r="F1252"/>
    </row>
    <row r="1253" spans="5:6" x14ac:dyDescent="0.2">
      <c r="E1253"/>
      <c r="F1253"/>
    </row>
    <row r="1254" spans="5:6" x14ac:dyDescent="0.2">
      <c r="E1254"/>
      <c r="F1254"/>
    </row>
    <row r="1255" spans="5:6" x14ac:dyDescent="0.2">
      <c r="E1255"/>
      <c r="F1255"/>
    </row>
    <row r="1256" spans="5:6" x14ac:dyDescent="0.2">
      <c r="E1256"/>
      <c r="F1256"/>
    </row>
    <row r="1257" spans="5:6" x14ac:dyDescent="0.2">
      <c r="E1257"/>
      <c r="F1257"/>
    </row>
    <row r="1258" spans="5:6" x14ac:dyDescent="0.2">
      <c r="E1258"/>
      <c r="F1258"/>
    </row>
    <row r="1259" spans="5:6" x14ac:dyDescent="0.2">
      <c r="E1259"/>
      <c r="F1259"/>
    </row>
    <row r="1260" spans="5:6" x14ac:dyDescent="0.2">
      <c r="E1260"/>
      <c r="F1260"/>
    </row>
    <row r="1261" spans="5:6" x14ac:dyDescent="0.2">
      <c r="E1261"/>
      <c r="F1261"/>
    </row>
    <row r="1262" spans="5:6" x14ac:dyDescent="0.2">
      <c r="E1262"/>
      <c r="F1262"/>
    </row>
    <row r="1263" spans="5:6" x14ac:dyDescent="0.2">
      <c r="E1263"/>
      <c r="F1263"/>
    </row>
    <row r="1264" spans="5:6" x14ac:dyDescent="0.2">
      <c r="E1264"/>
      <c r="F1264"/>
    </row>
    <row r="1265" spans="5:6" x14ac:dyDescent="0.2">
      <c r="E1265"/>
      <c r="F1265"/>
    </row>
    <row r="1266" spans="5:6" x14ac:dyDescent="0.2">
      <c r="E1266"/>
      <c r="F1266"/>
    </row>
    <row r="1267" spans="5:6" x14ac:dyDescent="0.2">
      <c r="E1267"/>
      <c r="F1267"/>
    </row>
    <row r="1268" spans="5:6" x14ac:dyDescent="0.2">
      <c r="E1268"/>
      <c r="F1268"/>
    </row>
    <row r="1269" spans="5:6" x14ac:dyDescent="0.2">
      <c r="E1269"/>
      <c r="F1269"/>
    </row>
    <row r="1270" spans="5:6" x14ac:dyDescent="0.2">
      <c r="E1270"/>
      <c r="F1270"/>
    </row>
    <row r="1271" spans="5:6" x14ac:dyDescent="0.2">
      <c r="E1271"/>
      <c r="F1271"/>
    </row>
    <row r="1272" spans="5:6" x14ac:dyDescent="0.2">
      <c r="E1272"/>
      <c r="F1272"/>
    </row>
    <row r="1273" spans="5:6" x14ac:dyDescent="0.2">
      <c r="E1273"/>
      <c r="F1273"/>
    </row>
    <row r="1274" spans="5:6" x14ac:dyDescent="0.2">
      <c r="E1274"/>
      <c r="F1274"/>
    </row>
    <row r="1275" spans="5:6" x14ac:dyDescent="0.2">
      <c r="E1275"/>
      <c r="F1275"/>
    </row>
    <row r="1276" spans="5:6" x14ac:dyDescent="0.2">
      <c r="E1276"/>
      <c r="F1276"/>
    </row>
    <row r="1277" spans="5:6" x14ac:dyDescent="0.2">
      <c r="E1277"/>
      <c r="F1277"/>
    </row>
    <row r="1278" spans="5:6" x14ac:dyDescent="0.2">
      <c r="E1278"/>
      <c r="F1278"/>
    </row>
    <row r="1279" spans="5:6" x14ac:dyDescent="0.2">
      <c r="E1279"/>
      <c r="F1279"/>
    </row>
    <row r="1280" spans="5:6" x14ac:dyDescent="0.2">
      <c r="E1280"/>
      <c r="F1280"/>
    </row>
    <row r="1281" spans="5:6" x14ac:dyDescent="0.2">
      <c r="E1281"/>
      <c r="F1281"/>
    </row>
    <row r="1282" spans="5:6" x14ac:dyDescent="0.2">
      <c r="E1282"/>
      <c r="F1282"/>
    </row>
    <row r="1283" spans="5:6" x14ac:dyDescent="0.2">
      <c r="E1283"/>
      <c r="F1283"/>
    </row>
    <row r="1284" spans="5:6" x14ac:dyDescent="0.2">
      <c r="E1284"/>
      <c r="F1284"/>
    </row>
    <row r="1285" spans="5:6" x14ac:dyDescent="0.2">
      <c r="E1285"/>
      <c r="F1285"/>
    </row>
    <row r="1286" spans="5:6" x14ac:dyDescent="0.2">
      <c r="E1286"/>
      <c r="F1286"/>
    </row>
    <row r="1287" spans="5:6" x14ac:dyDescent="0.2">
      <c r="E1287"/>
      <c r="F1287"/>
    </row>
    <row r="1288" spans="5:6" x14ac:dyDescent="0.2">
      <c r="E1288"/>
      <c r="F1288"/>
    </row>
    <row r="1289" spans="5:6" x14ac:dyDescent="0.2">
      <c r="E1289"/>
      <c r="F1289"/>
    </row>
    <row r="1290" spans="5:6" x14ac:dyDescent="0.2">
      <c r="E1290"/>
      <c r="F1290"/>
    </row>
    <row r="1291" spans="5:6" x14ac:dyDescent="0.2">
      <c r="E1291"/>
      <c r="F1291"/>
    </row>
    <row r="1292" spans="5:6" x14ac:dyDescent="0.2">
      <c r="E1292"/>
      <c r="F1292"/>
    </row>
    <row r="1293" spans="5:6" x14ac:dyDescent="0.2">
      <c r="E1293"/>
      <c r="F1293"/>
    </row>
    <row r="1294" spans="5:6" x14ac:dyDescent="0.2">
      <c r="E1294"/>
      <c r="F1294"/>
    </row>
    <row r="1295" spans="5:6" x14ac:dyDescent="0.2">
      <c r="E1295"/>
      <c r="F1295"/>
    </row>
    <row r="1296" spans="5:6" x14ac:dyDescent="0.2">
      <c r="E1296"/>
      <c r="F1296"/>
    </row>
    <row r="1297" spans="5:6" x14ac:dyDescent="0.2">
      <c r="E1297"/>
      <c r="F1297"/>
    </row>
    <row r="1298" spans="5:6" x14ac:dyDescent="0.2">
      <c r="E1298"/>
      <c r="F1298"/>
    </row>
    <row r="1299" spans="5:6" x14ac:dyDescent="0.2">
      <c r="E1299"/>
      <c r="F1299"/>
    </row>
    <row r="1300" spans="5:6" x14ac:dyDescent="0.2">
      <c r="E1300"/>
      <c r="F1300"/>
    </row>
    <row r="1301" spans="5:6" x14ac:dyDescent="0.2">
      <c r="E1301"/>
      <c r="F1301"/>
    </row>
    <row r="1302" spans="5:6" x14ac:dyDescent="0.2">
      <c r="E1302"/>
      <c r="F1302"/>
    </row>
    <row r="1303" spans="5:6" x14ac:dyDescent="0.2">
      <c r="E1303"/>
      <c r="F1303"/>
    </row>
    <row r="1304" spans="5:6" x14ac:dyDescent="0.2">
      <c r="E1304"/>
      <c r="F1304"/>
    </row>
    <row r="1305" spans="5:6" x14ac:dyDescent="0.2">
      <c r="E1305"/>
      <c r="F1305"/>
    </row>
    <row r="1306" spans="5:6" x14ac:dyDescent="0.2">
      <c r="E1306"/>
      <c r="F1306"/>
    </row>
    <row r="1307" spans="5:6" x14ac:dyDescent="0.2">
      <c r="E1307"/>
      <c r="F1307"/>
    </row>
    <row r="1308" spans="5:6" x14ac:dyDescent="0.2">
      <c r="E1308"/>
      <c r="F1308"/>
    </row>
    <row r="1309" spans="5:6" x14ac:dyDescent="0.2">
      <c r="E1309"/>
      <c r="F1309"/>
    </row>
    <row r="1310" spans="5:6" x14ac:dyDescent="0.2">
      <c r="E1310"/>
      <c r="F1310"/>
    </row>
    <row r="1311" spans="5:6" x14ac:dyDescent="0.2">
      <c r="E1311"/>
      <c r="F1311"/>
    </row>
    <row r="1312" spans="5:6" x14ac:dyDescent="0.2">
      <c r="E1312"/>
      <c r="F1312"/>
    </row>
    <row r="1313" spans="5:6" x14ac:dyDescent="0.2">
      <c r="E1313"/>
      <c r="F1313"/>
    </row>
    <row r="1314" spans="5:6" x14ac:dyDescent="0.2">
      <c r="E1314"/>
      <c r="F1314"/>
    </row>
    <row r="1315" spans="5:6" x14ac:dyDescent="0.2">
      <c r="E1315"/>
      <c r="F1315"/>
    </row>
    <row r="1316" spans="5:6" x14ac:dyDescent="0.2">
      <c r="E1316"/>
      <c r="F1316"/>
    </row>
    <row r="1317" spans="5:6" x14ac:dyDescent="0.2">
      <c r="E1317"/>
      <c r="F1317"/>
    </row>
    <row r="1318" spans="5:6" x14ac:dyDescent="0.2">
      <c r="E1318"/>
      <c r="F1318"/>
    </row>
    <row r="1319" spans="5:6" x14ac:dyDescent="0.2">
      <c r="E1319"/>
      <c r="F1319"/>
    </row>
    <row r="1320" spans="5:6" x14ac:dyDescent="0.2">
      <c r="E1320"/>
      <c r="F1320"/>
    </row>
    <row r="1321" spans="5:6" x14ac:dyDescent="0.2">
      <c r="E1321"/>
      <c r="F1321"/>
    </row>
    <row r="1322" spans="5:6" x14ac:dyDescent="0.2">
      <c r="E1322"/>
      <c r="F1322"/>
    </row>
    <row r="1323" spans="5:6" x14ac:dyDescent="0.2">
      <c r="E1323"/>
      <c r="F1323"/>
    </row>
    <row r="1324" spans="5:6" x14ac:dyDescent="0.2">
      <c r="E1324"/>
      <c r="F1324"/>
    </row>
    <row r="1325" spans="5:6" x14ac:dyDescent="0.2">
      <c r="E1325"/>
      <c r="F1325"/>
    </row>
    <row r="1326" spans="5:6" x14ac:dyDescent="0.2">
      <c r="E1326"/>
      <c r="F1326"/>
    </row>
    <row r="1327" spans="5:6" x14ac:dyDescent="0.2">
      <c r="E1327"/>
      <c r="F1327"/>
    </row>
    <row r="1328" spans="5:6" x14ac:dyDescent="0.2">
      <c r="E1328"/>
      <c r="F1328"/>
    </row>
    <row r="1329" spans="5:6" x14ac:dyDescent="0.2">
      <c r="E1329"/>
      <c r="F1329"/>
    </row>
    <row r="1330" spans="5:6" x14ac:dyDescent="0.2">
      <c r="E1330"/>
      <c r="F1330"/>
    </row>
    <row r="1331" spans="5:6" x14ac:dyDescent="0.2">
      <c r="E1331"/>
      <c r="F1331"/>
    </row>
    <row r="1332" spans="5:6" x14ac:dyDescent="0.2">
      <c r="E1332"/>
      <c r="F1332"/>
    </row>
    <row r="1333" spans="5:6" x14ac:dyDescent="0.2">
      <c r="E1333"/>
      <c r="F1333"/>
    </row>
    <row r="1334" spans="5:6" x14ac:dyDescent="0.2">
      <c r="E1334"/>
      <c r="F1334"/>
    </row>
    <row r="1335" spans="5:6" x14ac:dyDescent="0.2">
      <c r="E1335"/>
      <c r="F1335"/>
    </row>
    <row r="1336" spans="5:6" x14ac:dyDescent="0.2">
      <c r="E1336"/>
      <c r="F1336"/>
    </row>
    <row r="1337" spans="5:6" x14ac:dyDescent="0.2">
      <c r="E1337"/>
      <c r="F1337"/>
    </row>
    <row r="1338" spans="5:6" x14ac:dyDescent="0.2">
      <c r="E1338"/>
      <c r="F1338"/>
    </row>
    <row r="1339" spans="5:6" x14ac:dyDescent="0.2">
      <c r="E1339"/>
      <c r="F1339"/>
    </row>
    <row r="1340" spans="5:6" x14ac:dyDescent="0.2">
      <c r="E1340"/>
      <c r="F1340"/>
    </row>
    <row r="1341" spans="5:6" x14ac:dyDescent="0.2">
      <c r="E1341"/>
      <c r="F1341"/>
    </row>
    <row r="1342" spans="5:6" x14ac:dyDescent="0.2">
      <c r="E1342"/>
      <c r="F1342"/>
    </row>
    <row r="1343" spans="5:6" x14ac:dyDescent="0.2">
      <c r="E1343"/>
      <c r="F1343"/>
    </row>
    <row r="1344" spans="5:6" x14ac:dyDescent="0.2">
      <c r="E1344"/>
      <c r="F1344"/>
    </row>
    <row r="1345" spans="5:6" x14ac:dyDescent="0.2">
      <c r="E1345"/>
      <c r="F1345"/>
    </row>
    <row r="1346" spans="5:6" x14ac:dyDescent="0.2">
      <c r="E1346"/>
      <c r="F1346"/>
    </row>
    <row r="1347" spans="5:6" x14ac:dyDescent="0.2">
      <c r="E1347"/>
      <c r="F1347"/>
    </row>
    <row r="1348" spans="5:6" x14ac:dyDescent="0.2">
      <c r="E1348"/>
      <c r="F1348"/>
    </row>
    <row r="1349" spans="5:6" x14ac:dyDescent="0.2">
      <c r="E1349"/>
      <c r="F1349"/>
    </row>
    <row r="1350" spans="5:6" x14ac:dyDescent="0.2">
      <c r="E1350"/>
      <c r="F1350"/>
    </row>
    <row r="1351" spans="5:6" x14ac:dyDescent="0.2">
      <c r="E1351"/>
      <c r="F1351"/>
    </row>
    <row r="1352" spans="5:6" x14ac:dyDescent="0.2">
      <c r="E1352"/>
      <c r="F1352"/>
    </row>
    <row r="1353" spans="5:6" x14ac:dyDescent="0.2">
      <c r="E1353"/>
      <c r="F1353"/>
    </row>
    <row r="1354" spans="5:6" x14ac:dyDescent="0.2">
      <c r="E1354"/>
      <c r="F1354"/>
    </row>
    <row r="1355" spans="5:6" x14ac:dyDescent="0.2">
      <c r="E1355"/>
      <c r="F1355"/>
    </row>
    <row r="1356" spans="5:6" x14ac:dyDescent="0.2">
      <c r="E1356"/>
      <c r="F1356"/>
    </row>
    <row r="1357" spans="5:6" x14ac:dyDescent="0.2">
      <c r="E1357"/>
      <c r="F1357"/>
    </row>
    <row r="1358" spans="5:6" x14ac:dyDescent="0.2">
      <c r="E1358"/>
      <c r="F1358"/>
    </row>
    <row r="1359" spans="5:6" x14ac:dyDescent="0.2">
      <c r="E1359"/>
      <c r="F1359"/>
    </row>
    <row r="1360" spans="5:6" x14ac:dyDescent="0.2">
      <c r="E1360"/>
      <c r="F1360"/>
    </row>
    <row r="1361" spans="5:6" x14ac:dyDescent="0.2">
      <c r="E1361"/>
      <c r="F1361"/>
    </row>
    <row r="1362" spans="5:6" x14ac:dyDescent="0.2">
      <c r="E1362"/>
      <c r="F1362"/>
    </row>
    <row r="1363" spans="5:6" x14ac:dyDescent="0.2">
      <c r="E1363"/>
      <c r="F1363"/>
    </row>
    <row r="1364" spans="5:6" x14ac:dyDescent="0.2">
      <c r="E1364"/>
      <c r="F1364"/>
    </row>
    <row r="1365" spans="5:6" x14ac:dyDescent="0.2">
      <c r="E1365"/>
      <c r="F1365"/>
    </row>
    <row r="1366" spans="5:6" x14ac:dyDescent="0.2">
      <c r="E1366"/>
      <c r="F1366"/>
    </row>
    <row r="1367" spans="5:6" x14ac:dyDescent="0.2">
      <c r="E1367"/>
      <c r="F1367"/>
    </row>
    <row r="1368" spans="5:6" x14ac:dyDescent="0.2">
      <c r="E1368"/>
      <c r="F1368"/>
    </row>
    <row r="1369" spans="5:6" x14ac:dyDescent="0.2">
      <c r="E1369"/>
      <c r="F1369"/>
    </row>
    <row r="1370" spans="5:6" x14ac:dyDescent="0.2">
      <c r="E1370"/>
      <c r="F1370"/>
    </row>
    <row r="1371" spans="5:6" x14ac:dyDescent="0.2">
      <c r="E1371"/>
      <c r="F1371"/>
    </row>
    <row r="1372" spans="5:6" x14ac:dyDescent="0.2">
      <c r="E1372"/>
      <c r="F1372"/>
    </row>
    <row r="1373" spans="5:6" x14ac:dyDescent="0.2">
      <c r="E1373"/>
      <c r="F1373"/>
    </row>
    <row r="1374" spans="5:6" x14ac:dyDescent="0.2">
      <c r="E1374"/>
      <c r="F1374"/>
    </row>
    <row r="1375" spans="5:6" x14ac:dyDescent="0.2">
      <c r="E1375"/>
      <c r="F1375"/>
    </row>
    <row r="1376" spans="5:6" x14ac:dyDescent="0.2">
      <c r="E1376"/>
      <c r="F1376"/>
    </row>
    <row r="1377" spans="5:6" x14ac:dyDescent="0.2">
      <c r="E1377"/>
      <c r="F1377"/>
    </row>
    <row r="1378" spans="5:6" x14ac:dyDescent="0.2">
      <c r="E1378"/>
      <c r="F1378"/>
    </row>
    <row r="1379" spans="5:6" x14ac:dyDescent="0.2">
      <c r="E1379"/>
      <c r="F1379"/>
    </row>
    <row r="1380" spans="5:6" x14ac:dyDescent="0.2">
      <c r="E1380"/>
      <c r="F1380"/>
    </row>
    <row r="1381" spans="5:6" x14ac:dyDescent="0.2">
      <c r="E1381"/>
      <c r="F1381"/>
    </row>
    <row r="1382" spans="5:6" x14ac:dyDescent="0.2">
      <c r="E1382"/>
      <c r="F1382"/>
    </row>
    <row r="1383" spans="5:6" x14ac:dyDescent="0.2">
      <c r="E1383"/>
      <c r="F1383"/>
    </row>
    <row r="1384" spans="5:6" x14ac:dyDescent="0.2">
      <c r="E1384"/>
      <c r="F1384"/>
    </row>
    <row r="1385" spans="5:6" x14ac:dyDescent="0.2">
      <c r="E1385"/>
      <c r="F1385"/>
    </row>
    <row r="1386" spans="5:6" x14ac:dyDescent="0.2">
      <c r="E1386"/>
      <c r="F1386"/>
    </row>
    <row r="1387" spans="5:6" x14ac:dyDescent="0.2">
      <c r="E1387"/>
      <c r="F1387"/>
    </row>
    <row r="1388" spans="5:6" x14ac:dyDescent="0.2">
      <c r="E1388"/>
      <c r="F1388"/>
    </row>
    <row r="1389" spans="5:6" x14ac:dyDescent="0.2">
      <c r="E1389"/>
      <c r="F1389"/>
    </row>
    <row r="1390" spans="5:6" x14ac:dyDescent="0.2">
      <c r="E1390"/>
      <c r="F1390"/>
    </row>
    <row r="1391" spans="5:6" x14ac:dyDescent="0.2">
      <c r="E1391"/>
      <c r="F1391"/>
    </row>
    <row r="1392" spans="5:6" x14ac:dyDescent="0.2">
      <c r="E1392"/>
      <c r="F1392"/>
    </row>
    <row r="1393" spans="5:6" x14ac:dyDescent="0.2">
      <c r="E1393"/>
      <c r="F1393"/>
    </row>
    <row r="1394" spans="5:6" x14ac:dyDescent="0.2">
      <c r="E1394"/>
      <c r="F1394"/>
    </row>
    <row r="1395" spans="5:6" x14ac:dyDescent="0.2">
      <c r="E1395"/>
      <c r="F1395"/>
    </row>
    <row r="1396" spans="5:6" x14ac:dyDescent="0.2">
      <c r="E1396"/>
      <c r="F1396"/>
    </row>
    <row r="1397" spans="5:6" x14ac:dyDescent="0.2">
      <c r="E1397"/>
      <c r="F1397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EE607-B704-4A92-91DB-484ADE89746C}">
  <sheetPr>
    <tabColor theme="4"/>
  </sheetPr>
  <dimension ref="A1:D1514"/>
  <sheetViews>
    <sheetView workbookViewId="0">
      <selection activeCell="A1510" sqref="A1510"/>
    </sheetView>
  </sheetViews>
  <sheetFormatPr baseColWidth="10" defaultColWidth="8.83203125" defaultRowHeight="15" x14ac:dyDescent="0.2"/>
  <cols>
    <col min="1" max="1" width="10.5" bestFit="1" customWidth="1"/>
    <col min="2" max="2" width="12.6640625" style="1" bestFit="1" customWidth="1"/>
    <col min="3" max="3" width="6.33203125" style="1" bestFit="1" customWidth="1"/>
    <col min="4" max="4" width="10.83203125" style="1" bestFit="1" customWidth="1"/>
  </cols>
  <sheetData>
    <row r="1" spans="1:4" x14ac:dyDescent="0.2">
      <c r="A1"/>
      <c r="B1" s="1"/>
      <c r="C1" s="1"/>
      <c r="D1" s="1"/>
    </row>
    <row r="2" spans="1:4" x14ac:dyDescent="0.2">
      <c r="A2" s="2"/>
      <c r="B2" s="1"/>
      <c r="C2" s="1"/>
      <c r="D2" s="1"/>
    </row>
    <row r="3" spans="1:4" x14ac:dyDescent="0.2">
      <c r="A3" s="2"/>
      <c r="B3" s="1"/>
      <c r="C3" s="1"/>
      <c r="D3" s="1"/>
    </row>
    <row r="4" spans="1:4" x14ac:dyDescent="0.2">
      <c r="A4" s="2"/>
      <c r="B4" s="1"/>
      <c r="C4" s="1"/>
      <c r="D4" s="1"/>
    </row>
    <row r="5" spans="1:4" x14ac:dyDescent="0.2">
      <c r="A5" s="2"/>
      <c r="B5" s="1"/>
      <c r="C5" s="1"/>
      <c r="D5" s="1"/>
    </row>
    <row r="6" spans="1:4" x14ac:dyDescent="0.2">
      <c r="A6" s="2"/>
      <c r="B6" s="1"/>
      <c r="C6" s="1"/>
      <c r="D6" s="1"/>
    </row>
    <row r="7" spans="1:4" x14ac:dyDescent="0.2">
      <c r="A7" s="2"/>
      <c r="B7" s="1"/>
      <c r="C7" s="1"/>
      <c r="D7" s="1"/>
    </row>
    <row r="8" spans="1:4" x14ac:dyDescent="0.2">
      <c r="A8" s="2"/>
      <c r="B8" s="1"/>
      <c r="C8" s="1"/>
      <c r="D8" s="1"/>
    </row>
    <row r="9" spans="1:4" x14ac:dyDescent="0.2">
      <c r="A9" s="2"/>
      <c r="B9" s="1"/>
      <c r="C9" s="1"/>
      <c r="D9" s="1"/>
    </row>
    <row r="10" spans="1:4" x14ac:dyDescent="0.2">
      <c r="A10" s="2"/>
      <c r="B10" s="1"/>
      <c r="C10" s="1"/>
      <c r="D10" s="1"/>
    </row>
    <row r="11" spans="1:4" x14ac:dyDescent="0.2">
      <c r="A11" s="2"/>
      <c r="B11" s="1"/>
      <c r="C11" s="1"/>
      <c r="D11" s="1"/>
    </row>
    <row r="12" spans="1:4" x14ac:dyDescent="0.2">
      <c r="A12" s="2"/>
      <c r="B12" s="1"/>
      <c r="C12" s="1"/>
      <c r="D12" s="1"/>
    </row>
    <row r="13" spans="1:4" x14ac:dyDescent="0.2">
      <c r="A13" s="2"/>
      <c r="B13" s="1"/>
      <c r="C13" s="1"/>
      <c r="D13" s="1"/>
    </row>
    <row r="14" spans="1:4" x14ac:dyDescent="0.2">
      <c r="A14" s="2"/>
      <c r="B14" s="1"/>
      <c r="C14" s="1"/>
      <c r="D14" s="1"/>
    </row>
    <row r="15" spans="1:4" x14ac:dyDescent="0.2">
      <c r="A15" s="2"/>
      <c r="B15" s="1"/>
      <c r="C15" s="1"/>
      <c r="D15" s="1"/>
    </row>
    <row r="16" spans="1:4" x14ac:dyDescent="0.2">
      <c r="A16" s="2"/>
      <c r="B16" s="1"/>
      <c r="C16" s="1"/>
      <c r="D16" s="1"/>
    </row>
    <row r="17" spans="1:4" x14ac:dyDescent="0.2">
      <c r="A17" s="2"/>
      <c r="B17" s="1"/>
      <c r="C17" s="1"/>
      <c r="D17" s="1"/>
    </row>
    <row r="18" spans="1:4" x14ac:dyDescent="0.2">
      <c r="A18" s="2"/>
      <c r="B18" s="1"/>
      <c r="C18" s="1"/>
      <c r="D18" s="1"/>
    </row>
    <row r="19" spans="1:4" x14ac:dyDescent="0.2">
      <c r="A19" s="2"/>
      <c r="B19" s="1"/>
      <c r="C19" s="1"/>
      <c r="D19" s="1"/>
    </row>
    <row r="20" spans="1:4" x14ac:dyDescent="0.2">
      <c r="A20" s="2"/>
      <c r="B20" s="1"/>
      <c r="C20" s="1"/>
      <c r="D20" s="1"/>
    </row>
    <row r="21" spans="1:4" x14ac:dyDescent="0.2">
      <c r="A21" s="2"/>
      <c r="B21" s="1"/>
      <c r="C21" s="1"/>
      <c r="D21" s="1"/>
    </row>
    <row r="22" spans="1:4" x14ac:dyDescent="0.2">
      <c r="A22" s="2"/>
      <c r="B22" s="1"/>
      <c r="C22" s="1"/>
      <c r="D22" s="1"/>
    </row>
    <row r="23" spans="1:4" x14ac:dyDescent="0.2">
      <c r="A23" s="2"/>
      <c r="B23" s="1"/>
      <c r="C23" s="1"/>
      <c r="D23" s="1"/>
    </row>
    <row r="24" spans="1:4" x14ac:dyDescent="0.2">
      <c r="A24" s="2"/>
      <c r="B24" s="1"/>
      <c r="C24" s="1"/>
      <c r="D24" s="1"/>
    </row>
    <row r="25" spans="1:4" x14ac:dyDescent="0.2">
      <c r="A25" s="2"/>
      <c r="B25" s="1"/>
      <c r="C25" s="1"/>
      <c r="D25" s="1"/>
    </row>
    <row r="26" spans="1:4" x14ac:dyDescent="0.2">
      <c r="A26" s="2"/>
      <c r="B26" s="1"/>
      <c r="C26" s="1"/>
      <c r="D26" s="1"/>
    </row>
    <row r="27" spans="1:4" x14ac:dyDescent="0.2">
      <c r="A27" s="2"/>
      <c r="B27" s="1"/>
      <c r="C27" s="1"/>
      <c r="D27" s="1"/>
    </row>
    <row r="28" spans="1:4" x14ac:dyDescent="0.2">
      <c r="A28" s="2"/>
      <c r="B28" s="1"/>
      <c r="C28" s="1"/>
      <c r="D28" s="1"/>
    </row>
    <row r="29" spans="1:4" x14ac:dyDescent="0.2">
      <c r="A29" s="2"/>
      <c r="B29" s="1"/>
      <c r="C29" s="1"/>
      <c r="D29" s="1"/>
    </row>
    <row r="30" spans="1:4" x14ac:dyDescent="0.2">
      <c r="A30" s="2"/>
      <c r="B30" s="1"/>
      <c r="C30" s="1"/>
      <c r="D30" s="1"/>
    </row>
    <row r="31" spans="1:4" x14ac:dyDescent="0.2">
      <c r="A31" s="2"/>
      <c r="B31" s="1"/>
      <c r="C31" s="1"/>
      <c r="D31" s="1"/>
    </row>
    <row r="32" spans="1:4" x14ac:dyDescent="0.2">
      <c r="A32" s="2"/>
      <c r="B32" s="1"/>
      <c r="C32" s="1"/>
      <c r="D32" s="1"/>
    </row>
    <row r="33" spans="1:4" x14ac:dyDescent="0.2">
      <c r="A33" s="2"/>
      <c r="B33" s="1"/>
      <c r="C33" s="1"/>
      <c r="D33" s="1"/>
    </row>
    <row r="34" spans="1:4" x14ac:dyDescent="0.2">
      <c r="A34" s="2"/>
      <c r="B34" s="1"/>
      <c r="C34" s="1"/>
      <c r="D34" s="1"/>
    </row>
    <row r="35" spans="1:4" x14ac:dyDescent="0.2">
      <c r="A35" s="2"/>
      <c r="B35" s="1"/>
      <c r="C35" s="1"/>
      <c r="D35" s="1"/>
    </row>
    <row r="36" spans="1:4" x14ac:dyDescent="0.2">
      <c r="A36" s="2"/>
      <c r="B36" s="1"/>
      <c r="C36" s="1"/>
      <c r="D36" s="1"/>
    </row>
    <row r="37" spans="1:4" x14ac:dyDescent="0.2">
      <c r="A37" s="2"/>
      <c r="B37" s="1"/>
      <c r="C37" s="1"/>
      <c r="D37" s="1"/>
    </row>
    <row r="38" spans="1:4" x14ac:dyDescent="0.2">
      <c r="A38" s="2"/>
      <c r="B38" s="1"/>
      <c r="C38" s="1"/>
      <c r="D38" s="1"/>
    </row>
    <row r="39" spans="1:4" x14ac:dyDescent="0.2">
      <c r="A39" s="2"/>
      <c r="B39" s="1"/>
      <c r="C39" s="1"/>
      <c r="D39" s="1"/>
    </row>
    <row r="40" spans="1:4" x14ac:dyDescent="0.2">
      <c r="A40" s="2"/>
      <c r="B40" s="1"/>
      <c r="C40" s="1"/>
      <c r="D40" s="1"/>
    </row>
    <row r="41" spans="1:4" x14ac:dyDescent="0.2">
      <c r="A41" s="2"/>
      <c r="B41" s="1"/>
      <c r="C41" s="1"/>
      <c r="D41" s="1"/>
    </row>
    <row r="42" spans="1:4" x14ac:dyDescent="0.2">
      <c r="A42" s="2"/>
      <c r="B42" s="1"/>
      <c r="C42" s="1"/>
      <c r="D42" s="1"/>
    </row>
    <row r="43" spans="1:4" x14ac:dyDescent="0.2">
      <c r="A43" s="2"/>
      <c r="B43" s="1"/>
      <c r="C43" s="1"/>
      <c r="D43" s="1"/>
    </row>
    <row r="44" spans="1:4" x14ac:dyDescent="0.2">
      <c r="A44" s="2"/>
      <c r="B44" s="1"/>
      <c r="C44" s="1"/>
      <c r="D44" s="1"/>
    </row>
    <row r="45" spans="1:4" x14ac:dyDescent="0.2">
      <c r="A45" s="2"/>
      <c r="B45" s="1"/>
      <c r="C45" s="1"/>
      <c r="D45" s="1"/>
    </row>
    <row r="46" spans="1:4" x14ac:dyDescent="0.2">
      <c r="A46" s="2"/>
      <c r="B46" s="1"/>
      <c r="C46" s="1"/>
      <c r="D46" s="1"/>
    </row>
    <row r="47" spans="1:4" x14ac:dyDescent="0.2">
      <c r="A47" s="2"/>
      <c r="B47" s="1"/>
      <c r="C47" s="1"/>
      <c r="D47" s="1"/>
    </row>
    <row r="48" spans="1:4" x14ac:dyDescent="0.2">
      <c r="A48" s="2"/>
      <c r="B48" s="1"/>
      <c r="C48" s="1"/>
      <c r="D48" s="1"/>
    </row>
    <row r="49" spans="1:4" x14ac:dyDescent="0.2">
      <c r="A49" s="2"/>
      <c r="B49" s="1"/>
      <c r="C49" s="1"/>
      <c r="D49" s="1"/>
    </row>
    <row r="50" spans="1:4" x14ac:dyDescent="0.2">
      <c r="A50" s="2"/>
      <c r="B50" s="1"/>
      <c r="C50" s="1"/>
      <c r="D50" s="1"/>
    </row>
    <row r="51" spans="1:4" x14ac:dyDescent="0.2">
      <c r="A51" s="2"/>
      <c r="B51" s="1"/>
      <c r="C51" s="1"/>
      <c r="D51" s="1"/>
    </row>
    <row r="52" spans="1:4" x14ac:dyDescent="0.2">
      <c r="A52" s="2"/>
      <c r="B52" s="1"/>
      <c r="C52" s="1"/>
      <c r="D52" s="1"/>
    </row>
    <row r="53" spans="1:4" x14ac:dyDescent="0.2">
      <c r="A53" s="2"/>
      <c r="B53" s="1"/>
      <c r="C53" s="1"/>
      <c r="D53" s="1"/>
    </row>
    <row r="54" spans="1:4" x14ac:dyDescent="0.2">
      <c r="A54" s="2"/>
      <c r="B54" s="1"/>
      <c r="C54" s="1"/>
      <c r="D54" s="1"/>
    </row>
    <row r="55" spans="1:4" x14ac:dyDescent="0.2">
      <c r="A55" s="2"/>
      <c r="B55" s="1"/>
      <c r="C55" s="1"/>
      <c r="D55" s="1"/>
    </row>
    <row r="56" spans="1:4" x14ac:dyDescent="0.2">
      <c r="A56" s="2"/>
      <c r="B56" s="1"/>
      <c r="C56" s="1"/>
      <c r="D56" s="1"/>
    </row>
    <row r="57" spans="1:4" x14ac:dyDescent="0.2">
      <c r="A57" s="2"/>
      <c r="B57" s="1"/>
      <c r="C57" s="1"/>
      <c r="D57" s="1"/>
    </row>
    <row r="58" spans="1:4" x14ac:dyDescent="0.2">
      <c r="A58" s="2"/>
      <c r="B58" s="1"/>
      <c r="C58" s="1"/>
      <c r="D58" s="1"/>
    </row>
    <row r="59" spans="1:4" x14ac:dyDescent="0.2">
      <c r="A59" s="2"/>
      <c r="B59" s="1"/>
      <c r="C59" s="1"/>
      <c r="D59" s="1"/>
    </row>
    <row r="60" spans="1:4" x14ac:dyDescent="0.2">
      <c r="A60" s="2"/>
      <c r="B60" s="1"/>
      <c r="C60" s="1"/>
      <c r="D60" s="1"/>
    </row>
    <row r="61" spans="1:4" x14ac:dyDescent="0.2">
      <c r="A61" s="2"/>
      <c r="B61" s="1"/>
      <c r="C61" s="1"/>
      <c r="D61" s="1"/>
    </row>
    <row r="62" spans="1:4" x14ac:dyDescent="0.2">
      <c r="A62" s="2"/>
      <c r="B62" s="1"/>
      <c r="C62" s="1"/>
      <c r="D62" s="1"/>
    </row>
    <row r="63" spans="1:4" x14ac:dyDescent="0.2">
      <c r="A63" s="2"/>
      <c r="B63" s="1"/>
      <c r="C63" s="1"/>
      <c r="D63" s="1"/>
    </row>
    <row r="64" spans="1:4" x14ac:dyDescent="0.2">
      <c r="A64" s="2"/>
      <c r="B64" s="1"/>
      <c r="C64" s="1"/>
      <c r="D64" s="1"/>
    </row>
    <row r="65" spans="1:4" x14ac:dyDescent="0.2">
      <c r="A65" s="2"/>
      <c r="B65" s="1"/>
      <c r="C65" s="1"/>
      <c r="D65" s="1"/>
    </row>
    <row r="66" spans="1:4" x14ac:dyDescent="0.2">
      <c r="A66" s="2"/>
      <c r="B66" s="1"/>
      <c r="C66" s="1"/>
      <c r="D66" s="1"/>
    </row>
    <row r="67" spans="1:4" x14ac:dyDescent="0.2">
      <c r="A67" s="2"/>
      <c r="B67" s="1"/>
      <c r="C67" s="1"/>
      <c r="D67" s="1"/>
    </row>
    <row r="68" spans="1:4" x14ac:dyDescent="0.2">
      <c r="A68" s="2"/>
      <c r="B68" s="1"/>
      <c r="C68" s="1"/>
      <c r="D68" s="1"/>
    </row>
    <row r="69" spans="1:4" x14ac:dyDescent="0.2">
      <c r="A69" s="2"/>
      <c r="B69" s="1"/>
      <c r="C69" s="1"/>
      <c r="D69" s="1"/>
    </row>
    <row r="70" spans="1:4" x14ac:dyDescent="0.2">
      <c r="A70" s="2"/>
      <c r="B70" s="1"/>
      <c r="C70" s="1"/>
      <c r="D70" s="1"/>
    </row>
    <row r="71" spans="1:4" x14ac:dyDescent="0.2">
      <c r="A71" s="2"/>
      <c r="B71" s="1"/>
      <c r="C71" s="1"/>
      <c r="D71" s="1"/>
    </row>
    <row r="72" spans="1:4" x14ac:dyDescent="0.2">
      <c r="A72" s="2"/>
      <c r="B72" s="1"/>
      <c r="C72" s="1"/>
      <c r="D72" s="1"/>
    </row>
    <row r="73" spans="1:4" x14ac:dyDescent="0.2">
      <c r="A73" s="2"/>
      <c r="B73" s="1"/>
      <c r="C73" s="1"/>
      <c r="D73" s="1"/>
    </row>
    <row r="74" spans="1:4" x14ac:dyDescent="0.2">
      <c r="A74" s="2"/>
      <c r="B74" s="1"/>
      <c r="C74" s="1"/>
      <c r="D74" s="1"/>
    </row>
    <row r="75" spans="1:4" x14ac:dyDescent="0.2">
      <c r="A75" s="2"/>
      <c r="B75" s="1"/>
      <c r="C75" s="1"/>
      <c r="D75" s="1"/>
    </row>
    <row r="76" spans="1:4" x14ac:dyDescent="0.2">
      <c r="A76" s="2"/>
      <c r="B76" s="1"/>
      <c r="C76" s="1"/>
      <c r="D76" s="1"/>
    </row>
    <row r="77" spans="1:4" x14ac:dyDescent="0.2">
      <c r="A77" s="2"/>
      <c r="B77" s="1"/>
      <c r="C77" s="1"/>
      <c r="D77" s="1"/>
    </row>
    <row r="78" spans="1:4" x14ac:dyDescent="0.2">
      <c r="A78" s="2"/>
      <c r="B78" s="1"/>
      <c r="C78" s="1"/>
      <c r="D78" s="1"/>
    </row>
    <row r="79" spans="1:4" x14ac:dyDescent="0.2">
      <c r="A79" s="2"/>
      <c r="B79" s="1"/>
      <c r="C79" s="1"/>
      <c r="D79" s="1"/>
    </row>
    <row r="80" spans="1:4" x14ac:dyDescent="0.2">
      <c r="A80" s="2"/>
      <c r="B80" s="1"/>
      <c r="C80" s="1"/>
      <c r="D80" s="1"/>
    </row>
    <row r="81" spans="1:4" x14ac:dyDescent="0.2">
      <c r="A81" s="2"/>
      <c r="B81" s="1"/>
      <c r="C81" s="1"/>
      <c r="D81" s="1"/>
    </row>
    <row r="82" spans="1:4" x14ac:dyDescent="0.2">
      <c r="A82" s="2"/>
      <c r="B82" s="1"/>
      <c r="C82" s="1"/>
      <c r="D82" s="1"/>
    </row>
    <row r="83" spans="1:4" x14ac:dyDescent="0.2">
      <c r="A83" s="2"/>
      <c r="B83" s="1"/>
      <c r="C83" s="1"/>
      <c r="D83" s="1"/>
    </row>
    <row r="84" spans="1:4" x14ac:dyDescent="0.2">
      <c r="A84" s="2"/>
      <c r="B84" s="1"/>
      <c r="C84" s="1"/>
      <c r="D84" s="1"/>
    </row>
    <row r="85" spans="1:4" x14ac:dyDescent="0.2">
      <c r="A85" s="2"/>
      <c r="B85" s="1"/>
      <c r="C85" s="1"/>
      <c r="D85" s="1"/>
    </row>
    <row r="86" spans="1:4" x14ac:dyDescent="0.2">
      <c r="A86" s="2"/>
      <c r="B86" s="1"/>
      <c r="C86" s="1"/>
      <c r="D86" s="1"/>
    </row>
    <row r="87" spans="1:4" x14ac:dyDescent="0.2">
      <c r="A87" s="2"/>
      <c r="B87" s="1"/>
      <c r="C87" s="1"/>
      <c r="D87" s="1"/>
    </row>
    <row r="88" spans="1:4" x14ac:dyDescent="0.2">
      <c r="A88" s="2"/>
      <c r="B88" s="1"/>
      <c r="C88" s="1"/>
      <c r="D88" s="1"/>
    </row>
    <row r="89" spans="1:4" x14ac:dyDescent="0.2">
      <c r="A89" s="2"/>
      <c r="B89" s="1"/>
      <c r="C89" s="1"/>
      <c r="D89" s="1"/>
    </row>
    <row r="90" spans="1:4" x14ac:dyDescent="0.2">
      <c r="A90" s="2"/>
      <c r="B90" s="1"/>
      <c r="C90" s="1"/>
      <c r="D90" s="1"/>
    </row>
    <row r="91" spans="1:4" x14ac:dyDescent="0.2">
      <c r="A91" s="2"/>
      <c r="B91" s="1"/>
      <c r="C91" s="1"/>
      <c r="D91" s="1"/>
    </row>
    <row r="92" spans="1:4" x14ac:dyDescent="0.2">
      <c r="A92" s="2"/>
      <c r="B92" s="1"/>
      <c r="C92" s="1"/>
      <c r="D92" s="1"/>
    </row>
    <row r="93" spans="1:4" x14ac:dyDescent="0.2">
      <c r="A93" s="2"/>
      <c r="B93" s="1"/>
      <c r="C93" s="1"/>
      <c r="D93" s="1"/>
    </row>
    <row r="94" spans="1:4" x14ac:dyDescent="0.2">
      <c r="A94" s="2"/>
      <c r="B94" s="1"/>
      <c r="C94" s="1"/>
      <c r="D94" s="1"/>
    </row>
    <row r="95" spans="1:4" x14ac:dyDescent="0.2">
      <c r="A95" s="2"/>
      <c r="B95" s="1"/>
      <c r="C95" s="1"/>
      <c r="D95" s="1"/>
    </row>
    <row r="96" spans="1:4" x14ac:dyDescent="0.2">
      <c r="A96" s="2"/>
      <c r="B96" s="1"/>
      <c r="C96" s="1"/>
      <c r="D96" s="1"/>
    </row>
    <row r="97" spans="1:4" x14ac:dyDescent="0.2">
      <c r="A97" s="2"/>
      <c r="B97" s="1"/>
      <c r="C97" s="1"/>
      <c r="D97" s="1"/>
    </row>
    <row r="98" spans="1:4" x14ac:dyDescent="0.2">
      <c r="A98" s="2"/>
      <c r="B98" s="1"/>
      <c r="C98" s="1"/>
      <c r="D98" s="1"/>
    </row>
    <row r="99" spans="1:4" x14ac:dyDescent="0.2">
      <c r="A99" s="2"/>
      <c r="B99" s="1"/>
      <c r="C99" s="1"/>
      <c r="D99" s="1"/>
    </row>
    <row r="100" spans="1:4" x14ac:dyDescent="0.2">
      <c r="A100" s="2"/>
      <c r="B100" s="1"/>
      <c r="C100" s="1"/>
      <c r="D100" s="1"/>
    </row>
    <row r="101" spans="1:4" x14ac:dyDescent="0.2">
      <c r="A101" s="2"/>
      <c r="B101" s="1"/>
      <c r="C101" s="1"/>
      <c r="D101" s="1"/>
    </row>
    <row r="102" spans="1:4" x14ac:dyDescent="0.2">
      <c r="A102" s="2"/>
      <c r="B102" s="1"/>
      <c r="C102" s="1"/>
      <c r="D102" s="1"/>
    </row>
    <row r="103" spans="1:4" x14ac:dyDescent="0.2">
      <c r="A103" s="2"/>
      <c r="B103" s="1"/>
      <c r="C103" s="1"/>
      <c r="D103" s="1"/>
    </row>
    <row r="104" spans="1:4" x14ac:dyDescent="0.2">
      <c r="A104" s="2"/>
      <c r="B104" s="1"/>
      <c r="C104" s="1"/>
      <c r="D104" s="1"/>
    </row>
    <row r="105" spans="1:4" x14ac:dyDescent="0.2">
      <c r="A105" s="2"/>
      <c r="B105" s="1"/>
      <c r="C105" s="1"/>
      <c r="D105" s="1"/>
    </row>
    <row r="106" spans="1:4" x14ac:dyDescent="0.2">
      <c r="A106" s="2"/>
      <c r="B106" s="1"/>
      <c r="C106" s="1"/>
      <c r="D106" s="1"/>
    </row>
    <row r="107" spans="1:4" x14ac:dyDescent="0.2">
      <c r="A107" s="2"/>
      <c r="B107" s="1"/>
      <c r="C107" s="1"/>
      <c r="D107" s="1"/>
    </row>
    <row r="108" spans="1:4" x14ac:dyDescent="0.2">
      <c r="A108" s="2"/>
      <c r="B108" s="1"/>
      <c r="C108" s="1"/>
      <c r="D108" s="1"/>
    </row>
    <row r="109" spans="1:4" x14ac:dyDescent="0.2">
      <c r="A109" s="2"/>
      <c r="B109" s="1"/>
      <c r="C109" s="1"/>
      <c r="D109" s="1"/>
    </row>
    <row r="110" spans="1:4" x14ac:dyDescent="0.2">
      <c r="A110" s="2"/>
      <c r="B110" s="1"/>
      <c r="C110" s="1"/>
      <c r="D110" s="1"/>
    </row>
    <row r="111" spans="1:4" x14ac:dyDescent="0.2">
      <c r="A111" s="2"/>
      <c r="B111" s="1"/>
      <c r="C111" s="1"/>
      <c r="D111" s="1"/>
    </row>
    <row r="112" spans="1:4" x14ac:dyDescent="0.2">
      <c r="A112" s="2"/>
      <c r="B112" s="1"/>
      <c r="C112" s="1"/>
      <c r="D112" s="1"/>
    </row>
    <row r="113" spans="1:4" x14ac:dyDescent="0.2">
      <c r="A113" s="2"/>
      <c r="B113" s="1"/>
      <c r="C113" s="1"/>
      <c r="D113" s="1"/>
    </row>
    <row r="114" spans="1:4" x14ac:dyDescent="0.2">
      <c r="A114" s="2"/>
      <c r="B114" s="1"/>
      <c r="C114" s="1"/>
      <c r="D114" s="1"/>
    </row>
    <row r="115" spans="1:4" x14ac:dyDescent="0.2">
      <c r="A115" s="2"/>
      <c r="B115" s="1"/>
      <c r="C115" s="1"/>
      <c r="D115" s="1"/>
    </row>
    <row r="116" spans="1:4" x14ac:dyDescent="0.2">
      <c r="A116" s="2"/>
      <c r="B116" s="1"/>
      <c r="C116" s="1"/>
      <c r="D116" s="1"/>
    </row>
    <row r="117" spans="1:4" x14ac:dyDescent="0.2">
      <c r="A117" s="2"/>
      <c r="B117" s="1"/>
      <c r="C117" s="1"/>
      <c r="D117" s="1"/>
    </row>
    <row r="118" spans="1:4" x14ac:dyDescent="0.2">
      <c r="A118" s="2"/>
      <c r="B118" s="1"/>
      <c r="C118" s="1"/>
      <c r="D118" s="1"/>
    </row>
    <row r="119" spans="1:4" x14ac:dyDescent="0.2">
      <c r="A119" s="2"/>
      <c r="B119" s="1"/>
      <c r="C119" s="1"/>
      <c r="D119" s="1"/>
    </row>
    <row r="120" spans="1:4" x14ac:dyDescent="0.2">
      <c r="A120" s="2"/>
      <c r="B120" s="1"/>
      <c r="C120" s="1"/>
      <c r="D120" s="1"/>
    </row>
    <row r="121" spans="1:4" x14ac:dyDescent="0.2">
      <c r="A121" s="2"/>
      <c r="B121" s="1"/>
      <c r="C121" s="1"/>
      <c r="D121" s="1"/>
    </row>
    <row r="122" spans="1:4" x14ac:dyDescent="0.2">
      <c r="A122" s="2"/>
      <c r="B122" s="1"/>
      <c r="C122" s="1"/>
      <c r="D122" s="1"/>
    </row>
    <row r="123" spans="1:4" x14ac:dyDescent="0.2">
      <c r="A123" s="2"/>
      <c r="B123" s="1"/>
      <c r="C123" s="1"/>
      <c r="D123" s="1"/>
    </row>
    <row r="124" spans="1:4" x14ac:dyDescent="0.2">
      <c r="A124" s="2"/>
      <c r="B124" s="1"/>
      <c r="C124" s="1"/>
      <c r="D124" s="1"/>
    </row>
    <row r="125" spans="1:4" x14ac:dyDescent="0.2">
      <c r="A125" s="2"/>
      <c r="B125" s="1"/>
      <c r="C125" s="1"/>
      <c r="D125" s="1"/>
    </row>
    <row r="126" spans="1:4" x14ac:dyDescent="0.2">
      <c r="A126" s="2"/>
      <c r="B126" s="1"/>
      <c r="C126" s="1"/>
      <c r="D126" s="1"/>
    </row>
    <row r="127" spans="1:4" x14ac:dyDescent="0.2">
      <c r="A127" s="2"/>
      <c r="B127" s="1"/>
      <c r="C127" s="1"/>
      <c r="D127" s="1"/>
    </row>
    <row r="128" spans="1:4" x14ac:dyDescent="0.2">
      <c r="A128" s="2"/>
      <c r="B128" s="1"/>
      <c r="C128" s="1"/>
      <c r="D128" s="1"/>
    </row>
    <row r="129" spans="1:4" x14ac:dyDescent="0.2">
      <c r="A129" s="2"/>
      <c r="B129" s="1"/>
      <c r="C129" s="1"/>
      <c r="D129" s="1"/>
    </row>
    <row r="130" spans="1:4" x14ac:dyDescent="0.2">
      <c r="A130" s="2"/>
      <c r="B130" s="1"/>
      <c r="C130" s="1"/>
      <c r="D130" s="1"/>
    </row>
    <row r="131" spans="1:4" x14ac:dyDescent="0.2">
      <c r="A131" s="2"/>
      <c r="B131" s="1"/>
      <c r="C131" s="1"/>
      <c r="D131" s="1"/>
    </row>
    <row r="132" spans="1:4" x14ac:dyDescent="0.2">
      <c r="A132" s="2"/>
      <c r="B132" s="1"/>
      <c r="C132" s="1"/>
      <c r="D132" s="1"/>
    </row>
    <row r="133" spans="1:4" x14ac:dyDescent="0.2">
      <c r="A133" s="2"/>
      <c r="B133" s="1"/>
      <c r="C133" s="1"/>
      <c r="D133" s="1"/>
    </row>
    <row r="134" spans="1:4" x14ac:dyDescent="0.2">
      <c r="A134" s="2"/>
      <c r="B134" s="1"/>
      <c r="C134" s="1"/>
      <c r="D134" s="1"/>
    </row>
    <row r="135" spans="1:4" x14ac:dyDescent="0.2">
      <c r="A135" s="2"/>
      <c r="B135" s="1"/>
      <c r="C135" s="1"/>
      <c r="D135" s="1"/>
    </row>
    <row r="136" spans="1:4" x14ac:dyDescent="0.2">
      <c r="A136" s="2"/>
      <c r="B136" s="1"/>
      <c r="C136" s="1"/>
      <c r="D136" s="1"/>
    </row>
    <row r="137" spans="1:4" x14ac:dyDescent="0.2">
      <c r="A137" s="2"/>
      <c r="B137" s="1"/>
      <c r="C137" s="1"/>
      <c r="D137" s="1"/>
    </row>
    <row r="138" spans="1:4" x14ac:dyDescent="0.2">
      <c r="A138" s="2"/>
      <c r="B138" s="1"/>
      <c r="C138" s="1"/>
      <c r="D138" s="1"/>
    </row>
    <row r="139" spans="1:4" x14ac:dyDescent="0.2">
      <c r="A139" s="2"/>
      <c r="B139" s="1"/>
      <c r="C139" s="1"/>
      <c r="D139" s="1"/>
    </row>
    <row r="140" spans="1:4" x14ac:dyDescent="0.2">
      <c r="A140" s="2"/>
      <c r="B140" s="1"/>
      <c r="C140" s="1"/>
      <c r="D140" s="1"/>
    </row>
    <row r="141" spans="1:4" x14ac:dyDescent="0.2">
      <c r="A141" s="2"/>
      <c r="B141" s="1"/>
      <c r="C141" s="1"/>
      <c r="D141" s="1"/>
    </row>
    <row r="142" spans="1:4" x14ac:dyDescent="0.2">
      <c r="A142" s="2"/>
      <c r="B142" s="1"/>
      <c r="C142" s="1"/>
      <c r="D142" s="1"/>
    </row>
    <row r="143" spans="1:4" x14ac:dyDescent="0.2">
      <c r="A143" s="2"/>
      <c r="B143" s="1"/>
      <c r="C143" s="1"/>
      <c r="D143" s="1"/>
    </row>
    <row r="144" spans="1:4" x14ac:dyDescent="0.2">
      <c r="A144" s="2"/>
      <c r="B144" s="1"/>
      <c r="C144" s="1"/>
      <c r="D144" s="1"/>
    </row>
    <row r="145" spans="1:4" x14ac:dyDescent="0.2">
      <c r="A145" s="2"/>
      <c r="B145" s="1"/>
      <c r="C145" s="1"/>
      <c r="D145" s="1"/>
    </row>
    <row r="146" spans="1:4" x14ac:dyDescent="0.2">
      <c r="A146" s="2"/>
      <c r="B146" s="1"/>
      <c r="C146" s="1"/>
      <c r="D146" s="1"/>
    </row>
    <row r="147" spans="1:4" x14ac:dyDescent="0.2">
      <c r="A147" s="2"/>
      <c r="B147" s="1"/>
      <c r="C147" s="1"/>
      <c r="D147" s="1"/>
    </row>
    <row r="148" spans="1:4" x14ac:dyDescent="0.2">
      <c r="A148" s="2"/>
      <c r="B148" s="1"/>
      <c r="C148" s="1"/>
      <c r="D148" s="1"/>
    </row>
    <row r="149" spans="1:4" x14ac:dyDescent="0.2">
      <c r="A149" s="2"/>
      <c r="B149" s="1"/>
      <c r="C149" s="1"/>
      <c r="D149" s="1"/>
    </row>
    <row r="150" spans="1:4" x14ac:dyDescent="0.2">
      <c r="A150" s="2"/>
      <c r="B150" s="1"/>
      <c r="C150" s="1"/>
      <c r="D150" s="1"/>
    </row>
    <row r="151" spans="1:4" x14ac:dyDescent="0.2">
      <c r="A151" s="2"/>
      <c r="B151" s="1"/>
      <c r="C151" s="1"/>
      <c r="D151" s="1"/>
    </row>
    <row r="152" spans="1:4" x14ac:dyDescent="0.2">
      <c r="A152" s="2"/>
      <c r="B152" s="1"/>
      <c r="C152" s="1"/>
      <c r="D152" s="1"/>
    </row>
    <row r="153" spans="1:4" x14ac:dyDescent="0.2">
      <c r="A153" s="2"/>
      <c r="B153" s="1"/>
      <c r="C153" s="1"/>
      <c r="D153" s="1"/>
    </row>
    <row r="154" spans="1:4" x14ac:dyDescent="0.2">
      <c r="A154" s="2"/>
      <c r="B154" s="1"/>
      <c r="C154" s="1"/>
      <c r="D154" s="1"/>
    </row>
    <row r="155" spans="1:4" x14ac:dyDescent="0.2">
      <c r="A155" s="2"/>
      <c r="B155" s="1"/>
      <c r="C155" s="1"/>
      <c r="D155" s="1"/>
    </row>
    <row r="156" spans="1:4" x14ac:dyDescent="0.2">
      <c r="A156" s="2"/>
      <c r="B156" s="1"/>
      <c r="C156" s="1"/>
      <c r="D156" s="1"/>
    </row>
    <row r="157" spans="1:4" x14ac:dyDescent="0.2">
      <c r="A157" s="2"/>
      <c r="B157" s="1"/>
      <c r="C157" s="1"/>
      <c r="D157" s="1"/>
    </row>
    <row r="158" spans="1:4" x14ac:dyDescent="0.2">
      <c r="A158" s="2"/>
      <c r="B158" s="1"/>
      <c r="C158" s="1"/>
      <c r="D158" s="1"/>
    </row>
    <row r="159" spans="1:4" x14ac:dyDescent="0.2">
      <c r="A159" s="2"/>
      <c r="B159" s="1"/>
      <c r="C159" s="1"/>
      <c r="D159" s="1"/>
    </row>
    <row r="160" spans="1:4" x14ac:dyDescent="0.2">
      <c r="A160" s="2"/>
      <c r="B160" s="1"/>
      <c r="C160" s="1"/>
      <c r="D160" s="1"/>
    </row>
    <row r="161" spans="1:4" x14ac:dyDescent="0.2">
      <c r="A161" s="2"/>
      <c r="B161" s="1"/>
      <c r="C161" s="1"/>
      <c r="D161" s="1"/>
    </row>
    <row r="162" spans="1:4" x14ac:dyDescent="0.2">
      <c r="A162" s="2"/>
      <c r="B162" s="1"/>
      <c r="C162" s="1"/>
      <c r="D162" s="1"/>
    </row>
    <row r="163" spans="1:4" x14ac:dyDescent="0.2">
      <c r="A163" s="2"/>
      <c r="B163" s="1"/>
      <c r="C163" s="1"/>
      <c r="D163" s="1"/>
    </row>
    <row r="164" spans="1:4" x14ac:dyDescent="0.2">
      <c r="A164" s="2"/>
      <c r="B164" s="1"/>
      <c r="C164" s="1"/>
      <c r="D164" s="1"/>
    </row>
    <row r="165" spans="1:4" x14ac:dyDescent="0.2">
      <c r="A165" s="2"/>
      <c r="B165" s="1"/>
      <c r="C165" s="1"/>
      <c r="D165" s="1"/>
    </row>
    <row r="166" spans="1:4" x14ac:dyDescent="0.2">
      <c r="A166" s="2"/>
      <c r="B166" s="1"/>
      <c r="C166" s="1"/>
      <c r="D166" s="1"/>
    </row>
    <row r="167" spans="1:4" x14ac:dyDescent="0.2">
      <c r="A167" s="2"/>
      <c r="B167" s="1"/>
      <c r="C167" s="1"/>
      <c r="D167" s="1"/>
    </row>
    <row r="168" spans="1:4" x14ac:dyDescent="0.2">
      <c r="A168" s="2"/>
      <c r="B168" s="1"/>
      <c r="C168" s="1"/>
      <c r="D168" s="1"/>
    </row>
    <row r="169" spans="1:4" x14ac:dyDescent="0.2">
      <c r="A169" s="2"/>
      <c r="B169" s="1"/>
      <c r="C169" s="1"/>
      <c r="D169" s="1"/>
    </row>
    <row r="170" spans="1:4" x14ac:dyDescent="0.2">
      <c r="A170" s="2"/>
      <c r="B170" s="1"/>
      <c r="C170" s="1"/>
      <c r="D170" s="1"/>
    </row>
    <row r="171" spans="1:4" x14ac:dyDescent="0.2">
      <c r="A171" s="2"/>
      <c r="B171" s="1"/>
      <c r="C171" s="1"/>
      <c r="D171" s="1"/>
    </row>
    <row r="172" spans="1:4" x14ac:dyDescent="0.2">
      <c r="A172" s="2"/>
      <c r="B172" s="1"/>
      <c r="C172" s="1"/>
      <c r="D172" s="1"/>
    </row>
    <row r="173" spans="1:4" x14ac:dyDescent="0.2">
      <c r="A173" s="2"/>
      <c r="B173" s="1"/>
      <c r="C173" s="1"/>
      <c r="D173" s="1"/>
    </row>
    <row r="174" spans="1:4" x14ac:dyDescent="0.2">
      <c r="A174" s="2"/>
      <c r="B174" s="1"/>
      <c r="C174" s="1"/>
      <c r="D174" s="1"/>
    </row>
    <row r="175" spans="1:4" x14ac:dyDescent="0.2">
      <c r="A175" s="2"/>
      <c r="B175" s="1"/>
      <c r="C175" s="1"/>
      <c r="D175" s="1"/>
    </row>
    <row r="176" spans="1:4" x14ac:dyDescent="0.2">
      <c r="A176" s="2"/>
      <c r="B176" s="1"/>
      <c r="C176" s="1"/>
      <c r="D176" s="1"/>
    </row>
    <row r="177" spans="1:4" x14ac:dyDescent="0.2">
      <c r="A177" s="2"/>
      <c r="B177" s="1"/>
      <c r="C177" s="1"/>
      <c r="D177" s="1"/>
    </row>
    <row r="178" spans="1:4" x14ac:dyDescent="0.2">
      <c r="A178" s="2"/>
      <c r="B178" s="1"/>
      <c r="C178" s="1"/>
      <c r="D178" s="1"/>
    </row>
    <row r="179" spans="1:4" x14ac:dyDescent="0.2">
      <c r="A179" s="2"/>
      <c r="B179" s="1"/>
      <c r="C179" s="1"/>
      <c r="D179" s="1"/>
    </row>
    <row r="180" spans="1:4" x14ac:dyDescent="0.2">
      <c r="A180" s="2"/>
      <c r="B180" s="1"/>
      <c r="C180" s="1"/>
      <c r="D180" s="1"/>
    </row>
    <row r="181" spans="1:4" x14ac:dyDescent="0.2">
      <c r="A181" s="2"/>
      <c r="B181" s="1"/>
      <c r="C181" s="1"/>
      <c r="D181" s="1"/>
    </row>
    <row r="182" spans="1:4" x14ac:dyDescent="0.2">
      <c r="A182" s="2"/>
      <c r="B182" s="1"/>
      <c r="C182" s="1"/>
      <c r="D182" s="1"/>
    </row>
    <row r="183" spans="1:4" x14ac:dyDescent="0.2">
      <c r="A183" s="2"/>
      <c r="B183" s="1"/>
      <c r="C183" s="1"/>
      <c r="D183" s="1"/>
    </row>
    <row r="184" spans="1:4" x14ac:dyDescent="0.2">
      <c r="A184" s="2"/>
      <c r="B184" s="1"/>
      <c r="C184" s="1"/>
      <c r="D184" s="1"/>
    </row>
    <row r="185" spans="1:4" x14ac:dyDescent="0.2">
      <c r="A185" s="2"/>
      <c r="B185" s="1"/>
      <c r="C185" s="1"/>
      <c r="D185" s="1"/>
    </row>
    <row r="186" spans="1:4" x14ac:dyDescent="0.2">
      <c r="A186" s="2"/>
      <c r="B186" s="1"/>
      <c r="C186" s="1"/>
      <c r="D186" s="1"/>
    </row>
    <row r="187" spans="1:4" x14ac:dyDescent="0.2">
      <c r="A187" s="2"/>
      <c r="B187" s="1"/>
      <c r="C187" s="1"/>
      <c r="D187" s="1"/>
    </row>
    <row r="188" spans="1:4" x14ac:dyDescent="0.2">
      <c r="A188" s="2"/>
      <c r="B188" s="1"/>
      <c r="C188" s="1"/>
      <c r="D188" s="1"/>
    </row>
    <row r="189" spans="1:4" x14ac:dyDescent="0.2">
      <c r="A189" s="2"/>
      <c r="B189" s="1"/>
      <c r="C189" s="1"/>
      <c r="D189" s="1"/>
    </row>
    <row r="190" spans="1:4" x14ac:dyDescent="0.2">
      <c r="A190" s="2"/>
      <c r="B190" s="1"/>
      <c r="C190" s="1"/>
      <c r="D190" s="1"/>
    </row>
    <row r="191" spans="1:4" x14ac:dyDescent="0.2">
      <c r="A191" s="2"/>
      <c r="B191" s="1"/>
      <c r="C191" s="1"/>
      <c r="D191" s="1"/>
    </row>
    <row r="192" spans="1:4" x14ac:dyDescent="0.2">
      <c r="A192" s="2"/>
      <c r="B192" s="1"/>
      <c r="C192" s="1"/>
      <c r="D192" s="1"/>
    </row>
    <row r="193" spans="1:4" x14ac:dyDescent="0.2">
      <c r="A193" s="2"/>
      <c r="B193" s="1"/>
      <c r="C193" s="1"/>
      <c r="D193" s="1"/>
    </row>
    <row r="194" spans="1:4" x14ac:dyDescent="0.2">
      <c r="A194" s="2"/>
      <c r="B194" s="1"/>
      <c r="C194" s="1"/>
      <c r="D194" s="1"/>
    </row>
    <row r="195" spans="1:4" x14ac:dyDescent="0.2">
      <c r="A195" s="2"/>
      <c r="B195" s="1"/>
      <c r="C195" s="1"/>
      <c r="D195" s="1"/>
    </row>
    <row r="196" spans="1:4" x14ac:dyDescent="0.2">
      <c r="A196" s="2"/>
      <c r="B196" s="1"/>
      <c r="C196" s="1"/>
      <c r="D196" s="1"/>
    </row>
    <row r="197" spans="1:4" x14ac:dyDescent="0.2">
      <c r="A197" s="2"/>
      <c r="B197" s="1"/>
      <c r="C197" s="1"/>
      <c r="D197" s="1"/>
    </row>
    <row r="198" spans="1:4" x14ac:dyDescent="0.2">
      <c r="A198" s="2"/>
      <c r="B198" s="1"/>
      <c r="C198" s="1"/>
      <c r="D198" s="1"/>
    </row>
    <row r="199" spans="1:4" x14ac:dyDescent="0.2">
      <c r="A199" s="2"/>
      <c r="B199" s="1"/>
      <c r="C199" s="1"/>
      <c r="D199" s="1"/>
    </row>
    <row r="200" spans="1:4" x14ac:dyDescent="0.2">
      <c r="A200" s="2"/>
      <c r="B200" s="1"/>
      <c r="C200" s="1"/>
      <c r="D200" s="1"/>
    </row>
    <row r="201" spans="1:4" x14ac:dyDescent="0.2">
      <c r="A201" s="2"/>
      <c r="B201" s="1"/>
      <c r="C201" s="1"/>
      <c r="D201" s="1"/>
    </row>
    <row r="202" spans="1:4" x14ac:dyDescent="0.2">
      <c r="A202" s="2"/>
      <c r="B202" s="1"/>
      <c r="C202" s="1"/>
      <c r="D202" s="1"/>
    </row>
    <row r="203" spans="1:4" x14ac:dyDescent="0.2">
      <c r="A203" s="2"/>
      <c r="B203" s="1"/>
      <c r="C203" s="1"/>
      <c r="D203" s="1"/>
    </row>
    <row r="204" spans="1:4" x14ac:dyDescent="0.2">
      <c r="A204" s="2"/>
      <c r="B204" s="1"/>
      <c r="C204" s="1"/>
      <c r="D204" s="1"/>
    </row>
    <row r="205" spans="1:4" x14ac:dyDescent="0.2">
      <c r="A205" s="2"/>
      <c r="B205" s="1"/>
      <c r="C205" s="1"/>
      <c r="D205" s="1"/>
    </row>
    <row r="206" spans="1:4" x14ac:dyDescent="0.2">
      <c r="A206" s="2"/>
      <c r="B206" s="1"/>
      <c r="C206" s="1"/>
      <c r="D206" s="1"/>
    </row>
    <row r="207" spans="1:4" x14ac:dyDescent="0.2">
      <c r="A207" s="2"/>
      <c r="B207" s="1"/>
      <c r="C207" s="1"/>
      <c r="D207" s="1"/>
    </row>
    <row r="208" spans="1:4" x14ac:dyDescent="0.2">
      <c r="A208" s="2"/>
      <c r="B208" s="1"/>
      <c r="C208" s="1"/>
      <c r="D208" s="1"/>
    </row>
    <row r="209" spans="1:4" x14ac:dyDescent="0.2">
      <c r="A209" s="2"/>
      <c r="B209" s="1"/>
      <c r="C209" s="1"/>
      <c r="D209" s="1"/>
    </row>
    <row r="210" spans="1:4" x14ac:dyDescent="0.2">
      <c r="A210" s="2"/>
      <c r="B210" s="1"/>
      <c r="C210" s="1"/>
      <c r="D210" s="1"/>
    </row>
    <row r="211" spans="1:4" x14ac:dyDescent="0.2">
      <c r="A211" s="2"/>
      <c r="B211" s="1"/>
      <c r="C211" s="1"/>
      <c r="D211" s="1"/>
    </row>
    <row r="212" spans="1:4" x14ac:dyDescent="0.2">
      <c r="A212" s="2"/>
      <c r="B212" s="1"/>
      <c r="C212" s="1"/>
      <c r="D212" s="1"/>
    </row>
    <row r="213" spans="1:4" x14ac:dyDescent="0.2">
      <c r="A213" s="2"/>
      <c r="B213" s="1"/>
      <c r="C213" s="1"/>
      <c r="D213" s="1"/>
    </row>
    <row r="214" spans="1:4" x14ac:dyDescent="0.2">
      <c r="A214" s="2"/>
      <c r="B214" s="1"/>
      <c r="C214" s="1"/>
      <c r="D214" s="1"/>
    </row>
    <row r="215" spans="1:4" x14ac:dyDescent="0.2">
      <c r="A215" s="2"/>
      <c r="B215" s="1"/>
      <c r="C215" s="1"/>
      <c r="D215" s="1"/>
    </row>
    <row r="216" spans="1:4" x14ac:dyDescent="0.2">
      <c r="A216" s="2"/>
      <c r="B216" s="1"/>
      <c r="C216" s="1"/>
      <c r="D216" s="1"/>
    </row>
    <row r="217" spans="1:4" x14ac:dyDescent="0.2">
      <c r="A217" s="2"/>
      <c r="B217" s="1"/>
      <c r="C217" s="1"/>
      <c r="D217" s="1"/>
    </row>
    <row r="218" spans="1:4" x14ac:dyDescent="0.2">
      <c r="A218" s="2"/>
      <c r="B218" s="1"/>
      <c r="C218" s="1"/>
      <c r="D218" s="1"/>
    </row>
    <row r="219" spans="1:4" x14ac:dyDescent="0.2">
      <c r="A219" s="2"/>
      <c r="B219" s="1"/>
      <c r="C219" s="1"/>
      <c r="D219" s="1"/>
    </row>
    <row r="220" spans="1:4" x14ac:dyDescent="0.2">
      <c r="A220" s="2"/>
      <c r="B220" s="1"/>
      <c r="C220" s="1"/>
      <c r="D220" s="1"/>
    </row>
    <row r="221" spans="1:4" x14ac:dyDescent="0.2">
      <c r="A221" s="2"/>
      <c r="B221" s="1"/>
      <c r="C221" s="1"/>
      <c r="D221" s="1"/>
    </row>
    <row r="222" spans="1:4" x14ac:dyDescent="0.2">
      <c r="A222" s="2"/>
      <c r="B222" s="1"/>
      <c r="C222" s="1"/>
      <c r="D222" s="1"/>
    </row>
    <row r="223" spans="1:4" x14ac:dyDescent="0.2">
      <c r="A223" s="2"/>
      <c r="B223" s="1"/>
      <c r="C223" s="1"/>
      <c r="D223" s="1"/>
    </row>
    <row r="224" spans="1:4" x14ac:dyDescent="0.2">
      <c r="A224" s="2"/>
      <c r="B224" s="1"/>
      <c r="C224" s="1"/>
      <c r="D224" s="1"/>
    </row>
    <row r="225" spans="1:4" x14ac:dyDescent="0.2">
      <c r="A225" s="2"/>
      <c r="B225" s="1"/>
      <c r="C225" s="1"/>
      <c r="D225" s="1"/>
    </row>
    <row r="226" spans="1:4" x14ac:dyDescent="0.2">
      <c r="A226" s="2"/>
      <c r="B226" s="1"/>
      <c r="C226" s="1"/>
      <c r="D226" s="1"/>
    </row>
    <row r="227" spans="1:4" x14ac:dyDescent="0.2">
      <c r="A227" s="2"/>
      <c r="B227" s="1"/>
      <c r="C227" s="1"/>
      <c r="D227" s="1"/>
    </row>
    <row r="228" spans="1:4" x14ac:dyDescent="0.2">
      <c r="A228" s="2"/>
      <c r="B228" s="1"/>
      <c r="C228" s="1"/>
      <c r="D228" s="1"/>
    </row>
    <row r="229" spans="1:4" x14ac:dyDescent="0.2">
      <c r="A229" s="2"/>
      <c r="B229" s="1"/>
      <c r="C229" s="1"/>
      <c r="D229" s="1"/>
    </row>
    <row r="230" spans="1:4" x14ac:dyDescent="0.2">
      <c r="A230" s="2"/>
      <c r="B230" s="1"/>
      <c r="C230" s="1"/>
      <c r="D230" s="1"/>
    </row>
    <row r="231" spans="1:4" x14ac:dyDescent="0.2">
      <c r="A231" s="2"/>
      <c r="B231" s="1"/>
      <c r="C231" s="1"/>
      <c r="D231" s="1"/>
    </row>
    <row r="232" spans="1:4" x14ac:dyDescent="0.2">
      <c r="A232" s="2"/>
      <c r="B232" s="1"/>
      <c r="C232" s="1"/>
      <c r="D232" s="1"/>
    </row>
    <row r="233" spans="1:4" x14ac:dyDescent="0.2">
      <c r="A233" s="2"/>
      <c r="B233" s="1"/>
      <c r="C233" s="1"/>
      <c r="D233" s="1"/>
    </row>
    <row r="234" spans="1:4" x14ac:dyDescent="0.2">
      <c r="A234" s="2"/>
      <c r="B234" s="1"/>
      <c r="C234" s="1"/>
      <c r="D234" s="1"/>
    </row>
    <row r="235" spans="1:4" x14ac:dyDescent="0.2">
      <c r="A235" s="2"/>
      <c r="B235" s="1"/>
      <c r="C235" s="1"/>
      <c r="D235" s="1"/>
    </row>
    <row r="236" spans="1:4" x14ac:dyDescent="0.2">
      <c r="A236" s="2"/>
      <c r="B236" s="1"/>
      <c r="C236" s="1"/>
      <c r="D236" s="1"/>
    </row>
    <row r="237" spans="1:4" x14ac:dyDescent="0.2">
      <c r="A237" s="2"/>
      <c r="B237" s="1"/>
      <c r="C237" s="1"/>
      <c r="D237" s="1"/>
    </row>
    <row r="238" spans="1:4" x14ac:dyDescent="0.2">
      <c r="A238" s="2"/>
      <c r="B238" s="1"/>
      <c r="C238" s="1"/>
      <c r="D238" s="1"/>
    </row>
    <row r="239" spans="1:4" x14ac:dyDescent="0.2">
      <c r="A239" s="2"/>
      <c r="B239" s="1"/>
      <c r="C239" s="1"/>
      <c r="D239" s="1"/>
    </row>
    <row r="240" spans="1:4" x14ac:dyDescent="0.2">
      <c r="A240" s="2"/>
      <c r="B240" s="1"/>
      <c r="C240" s="1"/>
      <c r="D240" s="1"/>
    </row>
    <row r="241" spans="1:4" x14ac:dyDescent="0.2">
      <c r="A241" s="2"/>
      <c r="B241" s="1"/>
      <c r="C241" s="1"/>
      <c r="D241" s="1"/>
    </row>
    <row r="242" spans="1:4" x14ac:dyDescent="0.2">
      <c r="A242" s="2"/>
      <c r="B242" s="1"/>
      <c r="C242" s="1"/>
      <c r="D242" s="1"/>
    </row>
    <row r="243" spans="1:4" x14ac:dyDescent="0.2">
      <c r="A243" s="2"/>
      <c r="B243" s="1"/>
      <c r="C243" s="1"/>
      <c r="D243" s="1"/>
    </row>
    <row r="244" spans="1:4" x14ac:dyDescent="0.2">
      <c r="A244" s="2"/>
      <c r="B244" s="1"/>
      <c r="C244" s="1"/>
      <c r="D244" s="1"/>
    </row>
    <row r="245" spans="1:4" x14ac:dyDescent="0.2">
      <c r="A245" s="2"/>
      <c r="B245" s="1"/>
      <c r="C245" s="1"/>
      <c r="D245" s="1"/>
    </row>
    <row r="246" spans="1:4" x14ac:dyDescent="0.2">
      <c r="A246" s="2"/>
      <c r="B246" s="1"/>
      <c r="C246" s="1"/>
      <c r="D246" s="1"/>
    </row>
    <row r="247" spans="1:4" x14ac:dyDescent="0.2">
      <c r="A247" s="2"/>
      <c r="B247" s="1"/>
      <c r="C247" s="1"/>
      <c r="D247" s="1"/>
    </row>
    <row r="248" spans="1:4" x14ac:dyDescent="0.2">
      <c r="A248" s="2"/>
      <c r="B248" s="1"/>
      <c r="C248" s="1"/>
      <c r="D248" s="1"/>
    </row>
    <row r="249" spans="1:4" x14ac:dyDescent="0.2">
      <c r="A249" s="2"/>
      <c r="B249" s="1"/>
      <c r="C249" s="1"/>
      <c r="D249" s="1"/>
    </row>
    <row r="250" spans="1:4" x14ac:dyDescent="0.2">
      <c r="A250" s="2"/>
      <c r="B250" s="1"/>
      <c r="C250" s="1"/>
      <c r="D250" s="1"/>
    </row>
    <row r="251" spans="1:4" x14ac:dyDescent="0.2">
      <c r="A251" s="2"/>
      <c r="B251" s="1"/>
      <c r="C251" s="1"/>
      <c r="D251" s="1"/>
    </row>
    <row r="252" spans="1:4" x14ac:dyDescent="0.2">
      <c r="A252" s="2"/>
      <c r="B252" s="1"/>
      <c r="C252" s="1"/>
      <c r="D252" s="1"/>
    </row>
    <row r="253" spans="1:4" x14ac:dyDescent="0.2">
      <c r="A253" s="2"/>
      <c r="B253" s="1"/>
      <c r="C253" s="1"/>
      <c r="D253" s="1"/>
    </row>
    <row r="254" spans="1:4" x14ac:dyDescent="0.2">
      <c r="A254" s="2"/>
      <c r="B254" s="1"/>
      <c r="C254" s="1"/>
      <c r="D254" s="1"/>
    </row>
    <row r="255" spans="1:4" x14ac:dyDescent="0.2">
      <c r="A255" s="2"/>
      <c r="B255" s="1"/>
      <c r="C255" s="1"/>
      <c r="D255" s="1"/>
    </row>
    <row r="256" spans="1:4" x14ac:dyDescent="0.2">
      <c r="A256" s="2"/>
      <c r="B256" s="1"/>
      <c r="C256" s="1"/>
      <c r="D256" s="1"/>
    </row>
    <row r="257" spans="1:4" x14ac:dyDescent="0.2">
      <c r="A257" s="2"/>
      <c r="B257" s="1"/>
      <c r="C257" s="1"/>
      <c r="D257" s="1"/>
    </row>
    <row r="258" spans="1:4" x14ac:dyDescent="0.2">
      <c r="A258" s="2"/>
      <c r="B258" s="1"/>
      <c r="C258" s="1"/>
      <c r="D258" s="1"/>
    </row>
    <row r="259" spans="1:4" x14ac:dyDescent="0.2">
      <c r="A259" s="2"/>
      <c r="B259" s="1"/>
      <c r="C259" s="1"/>
      <c r="D259" s="1"/>
    </row>
    <row r="260" spans="1:4" x14ac:dyDescent="0.2">
      <c r="A260" s="2"/>
      <c r="B260" s="1"/>
      <c r="C260" s="1"/>
      <c r="D260" s="1"/>
    </row>
    <row r="261" spans="1:4" x14ac:dyDescent="0.2">
      <c r="A261" s="2"/>
      <c r="B261" s="1"/>
      <c r="C261" s="1"/>
      <c r="D261" s="1"/>
    </row>
    <row r="262" spans="1:4" x14ac:dyDescent="0.2">
      <c r="A262" s="2"/>
      <c r="B262" s="1"/>
      <c r="C262" s="1"/>
      <c r="D262" s="1"/>
    </row>
    <row r="263" spans="1:4" x14ac:dyDescent="0.2">
      <c r="A263" s="2"/>
      <c r="B263" s="1"/>
      <c r="C263" s="1"/>
      <c r="D263" s="1"/>
    </row>
    <row r="264" spans="1:4" x14ac:dyDescent="0.2">
      <c r="A264" s="2"/>
      <c r="B264" s="1"/>
      <c r="C264" s="1"/>
      <c r="D264" s="1"/>
    </row>
    <row r="265" spans="1:4" x14ac:dyDescent="0.2">
      <c r="A265" s="2"/>
      <c r="B265" s="1"/>
      <c r="C265" s="1"/>
      <c r="D265" s="1"/>
    </row>
    <row r="266" spans="1:4" x14ac:dyDescent="0.2">
      <c r="A266" s="2"/>
      <c r="B266" s="1"/>
      <c r="C266" s="1"/>
      <c r="D266" s="1"/>
    </row>
    <row r="267" spans="1:4" x14ac:dyDescent="0.2">
      <c r="A267" s="2"/>
      <c r="B267" s="1"/>
      <c r="C267" s="1"/>
      <c r="D267" s="1"/>
    </row>
    <row r="268" spans="1:4" x14ac:dyDescent="0.2">
      <c r="A268" s="2"/>
      <c r="B268" s="1"/>
      <c r="C268" s="1"/>
      <c r="D268" s="1"/>
    </row>
    <row r="269" spans="1:4" x14ac:dyDescent="0.2">
      <c r="A269" s="2"/>
      <c r="B269" s="1"/>
      <c r="C269" s="1"/>
      <c r="D269" s="1"/>
    </row>
    <row r="270" spans="1:4" x14ac:dyDescent="0.2">
      <c r="A270" s="2"/>
      <c r="B270" s="1"/>
      <c r="C270" s="1"/>
      <c r="D270" s="1"/>
    </row>
    <row r="271" spans="1:4" x14ac:dyDescent="0.2">
      <c r="A271" s="2"/>
      <c r="B271" s="1"/>
      <c r="C271" s="1"/>
      <c r="D271" s="1"/>
    </row>
    <row r="272" spans="1:4" x14ac:dyDescent="0.2">
      <c r="A272" s="2"/>
      <c r="B272" s="1"/>
      <c r="C272" s="1"/>
      <c r="D272" s="1"/>
    </row>
    <row r="273" spans="1:4" x14ac:dyDescent="0.2">
      <c r="A273" s="2"/>
      <c r="B273" s="1"/>
      <c r="C273" s="1"/>
      <c r="D273" s="1"/>
    </row>
    <row r="274" spans="1:4" x14ac:dyDescent="0.2">
      <c r="A274" s="2"/>
      <c r="B274" s="1"/>
      <c r="C274" s="1"/>
      <c r="D274" s="1"/>
    </row>
    <row r="275" spans="1:4" x14ac:dyDescent="0.2">
      <c r="A275" s="2"/>
      <c r="B275" s="1"/>
      <c r="C275" s="1"/>
      <c r="D275" s="1"/>
    </row>
    <row r="276" spans="1:4" x14ac:dyDescent="0.2">
      <c r="A276" s="2"/>
      <c r="B276" s="1"/>
      <c r="C276" s="1"/>
      <c r="D276" s="1"/>
    </row>
    <row r="277" spans="1:4" x14ac:dyDescent="0.2">
      <c r="A277" s="2"/>
      <c r="B277" s="1"/>
      <c r="C277" s="1"/>
      <c r="D277" s="1"/>
    </row>
    <row r="278" spans="1:4" x14ac:dyDescent="0.2">
      <c r="A278" s="2"/>
      <c r="B278" s="1"/>
      <c r="C278" s="1"/>
      <c r="D278" s="1"/>
    </row>
    <row r="279" spans="1:4" x14ac:dyDescent="0.2">
      <c r="A279" s="2"/>
      <c r="B279" s="1"/>
      <c r="C279" s="1"/>
      <c r="D279" s="1"/>
    </row>
    <row r="280" spans="1:4" x14ac:dyDescent="0.2">
      <c r="A280" s="2"/>
      <c r="B280" s="1"/>
      <c r="C280" s="1"/>
      <c r="D280" s="1"/>
    </row>
    <row r="281" spans="1:4" x14ac:dyDescent="0.2">
      <c r="A281" s="2"/>
      <c r="B281" s="1"/>
      <c r="C281" s="1"/>
      <c r="D281" s="1"/>
    </row>
    <row r="282" spans="1:4" x14ac:dyDescent="0.2">
      <c r="A282" s="2"/>
      <c r="B282" s="1"/>
      <c r="C282" s="1"/>
      <c r="D282" s="1"/>
    </row>
    <row r="283" spans="1:4" x14ac:dyDescent="0.2">
      <c r="A283" s="2"/>
      <c r="B283" s="1"/>
      <c r="C283" s="1"/>
      <c r="D283" s="1"/>
    </row>
    <row r="284" spans="1:4" x14ac:dyDescent="0.2">
      <c r="A284" s="2"/>
      <c r="B284" s="1"/>
      <c r="C284" s="1"/>
      <c r="D284" s="1"/>
    </row>
    <row r="285" spans="1:4" x14ac:dyDescent="0.2">
      <c r="A285" s="2"/>
      <c r="B285" s="1"/>
      <c r="C285" s="1"/>
      <c r="D285" s="1"/>
    </row>
    <row r="286" spans="1:4" x14ac:dyDescent="0.2">
      <c r="A286" s="2"/>
      <c r="B286" s="1"/>
      <c r="C286" s="1"/>
      <c r="D286" s="1"/>
    </row>
    <row r="287" spans="1:4" x14ac:dyDescent="0.2">
      <c r="A287" s="2"/>
      <c r="B287" s="1"/>
      <c r="C287" s="1"/>
      <c r="D287" s="1"/>
    </row>
    <row r="288" spans="1:4" x14ac:dyDescent="0.2">
      <c r="A288" s="2"/>
      <c r="B288" s="1"/>
      <c r="C288" s="1"/>
      <c r="D288" s="1"/>
    </row>
    <row r="289" spans="1:4" x14ac:dyDescent="0.2">
      <c r="A289" s="2"/>
      <c r="B289" s="1"/>
      <c r="C289" s="1"/>
      <c r="D289" s="1"/>
    </row>
    <row r="290" spans="1:4" x14ac:dyDescent="0.2">
      <c r="A290" s="2"/>
      <c r="B290" s="1"/>
      <c r="C290" s="1"/>
      <c r="D290" s="1"/>
    </row>
    <row r="291" spans="1:4" x14ac:dyDescent="0.2">
      <c r="A291" s="2"/>
      <c r="B291" s="1"/>
      <c r="C291" s="1"/>
      <c r="D291" s="1"/>
    </row>
    <row r="292" spans="1:4" x14ac:dyDescent="0.2">
      <c r="A292" s="2"/>
      <c r="B292" s="1"/>
      <c r="C292" s="1"/>
      <c r="D292" s="1"/>
    </row>
    <row r="293" spans="1:4" x14ac:dyDescent="0.2">
      <c r="A293" s="2"/>
      <c r="B293" s="1"/>
      <c r="C293" s="1"/>
      <c r="D293" s="1"/>
    </row>
    <row r="294" spans="1:4" x14ac:dyDescent="0.2">
      <c r="A294" s="2"/>
      <c r="B294" s="1"/>
      <c r="C294" s="1"/>
      <c r="D294" s="1"/>
    </row>
    <row r="295" spans="1:4" x14ac:dyDescent="0.2">
      <c r="A295" s="2"/>
      <c r="B295" s="1"/>
      <c r="C295" s="1"/>
      <c r="D295" s="1"/>
    </row>
    <row r="296" spans="1:4" x14ac:dyDescent="0.2">
      <c r="A296" s="2"/>
      <c r="B296" s="1"/>
      <c r="C296" s="1"/>
      <c r="D296" s="1"/>
    </row>
    <row r="297" spans="1:4" x14ac:dyDescent="0.2">
      <c r="A297" s="2"/>
      <c r="B297" s="1"/>
      <c r="C297" s="1"/>
      <c r="D297" s="1"/>
    </row>
    <row r="298" spans="1:4" x14ac:dyDescent="0.2">
      <c r="A298" s="2"/>
      <c r="B298" s="1"/>
      <c r="C298" s="1"/>
      <c r="D298" s="1"/>
    </row>
    <row r="299" spans="1:4" x14ac:dyDescent="0.2">
      <c r="A299" s="2"/>
      <c r="B299" s="1"/>
      <c r="C299" s="1"/>
      <c r="D299" s="1"/>
    </row>
    <row r="300" spans="1:4" x14ac:dyDescent="0.2">
      <c r="A300" s="2"/>
      <c r="B300" s="1"/>
      <c r="C300" s="1"/>
      <c r="D300" s="1"/>
    </row>
    <row r="301" spans="1:4" x14ac:dyDescent="0.2">
      <c r="A301" s="2"/>
      <c r="B301" s="1"/>
      <c r="C301" s="1"/>
      <c r="D301" s="1"/>
    </row>
    <row r="302" spans="1:4" x14ac:dyDescent="0.2">
      <c r="A302" s="2"/>
      <c r="B302" s="1"/>
      <c r="C302" s="1"/>
      <c r="D302" s="1"/>
    </row>
    <row r="303" spans="1:4" x14ac:dyDescent="0.2">
      <c r="A303" s="2"/>
      <c r="B303" s="1"/>
      <c r="C303" s="1"/>
      <c r="D303" s="1"/>
    </row>
    <row r="304" spans="1:4" x14ac:dyDescent="0.2">
      <c r="A304" s="2"/>
      <c r="B304" s="1"/>
      <c r="C304" s="1"/>
      <c r="D304" s="1"/>
    </row>
    <row r="305" spans="1:4" x14ac:dyDescent="0.2">
      <c r="A305" s="2"/>
      <c r="B305" s="1"/>
      <c r="C305" s="1"/>
      <c r="D305" s="1"/>
    </row>
    <row r="306" spans="1:4" x14ac:dyDescent="0.2">
      <c r="A306" s="2"/>
      <c r="B306" s="1"/>
      <c r="C306" s="1"/>
      <c r="D306" s="1"/>
    </row>
    <row r="307" spans="1:4" x14ac:dyDescent="0.2">
      <c r="A307" s="2"/>
      <c r="B307" s="1"/>
      <c r="C307" s="1"/>
      <c r="D307" s="1"/>
    </row>
    <row r="308" spans="1:4" x14ac:dyDescent="0.2">
      <c r="A308" s="2"/>
      <c r="B308" s="1"/>
      <c r="C308" s="1"/>
      <c r="D308" s="1"/>
    </row>
    <row r="309" spans="1:4" x14ac:dyDescent="0.2">
      <c r="A309" s="2"/>
      <c r="B309" s="1"/>
      <c r="C309" s="1"/>
      <c r="D309" s="1"/>
    </row>
    <row r="310" spans="1:4" x14ac:dyDescent="0.2">
      <c r="A310" s="2"/>
      <c r="B310" s="1"/>
      <c r="C310" s="1"/>
      <c r="D310" s="1"/>
    </row>
    <row r="311" spans="1:4" x14ac:dyDescent="0.2">
      <c r="A311" s="2"/>
      <c r="B311" s="1"/>
      <c r="C311" s="1"/>
      <c r="D311" s="1"/>
    </row>
    <row r="312" spans="1:4" x14ac:dyDescent="0.2">
      <c r="A312" s="2"/>
      <c r="B312" s="1"/>
      <c r="C312" s="1"/>
      <c r="D312" s="1"/>
    </row>
    <row r="313" spans="1:4" x14ac:dyDescent="0.2">
      <c r="A313" s="2"/>
      <c r="B313" s="1"/>
      <c r="C313" s="1"/>
      <c r="D313" s="1"/>
    </row>
    <row r="314" spans="1:4" x14ac:dyDescent="0.2">
      <c r="A314" s="2"/>
      <c r="B314" s="1"/>
      <c r="C314" s="1"/>
      <c r="D314" s="1"/>
    </row>
    <row r="315" spans="1:4" x14ac:dyDescent="0.2">
      <c r="A315" s="2"/>
      <c r="B315" s="1"/>
      <c r="C315" s="1"/>
      <c r="D315" s="1"/>
    </row>
    <row r="316" spans="1:4" x14ac:dyDescent="0.2">
      <c r="A316" s="2"/>
      <c r="B316" s="1"/>
      <c r="C316" s="1"/>
      <c r="D316" s="1"/>
    </row>
    <row r="317" spans="1:4" x14ac:dyDescent="0.2">
      <c r="A317" s="2"/>
      <c r="B317" s="1"/>
      <c r="C317" s="1"/>
      <c r="D317" s="1"/>
    </row>
    <row r="318" spans="1:4" x14ac:dyDescent="0.2">
      <c r="A318" s="2"/>
      <c r="B318" s="1"/>
      <c r="C318" s="1"/>
      <c r="D318" s="1"/>
    </row>
    <row r="319" spans="1:4" x14ac:dyDescent="0.2">
      <c r="A319" s="2"/>
      <c r="B319" s="1"/>
      <c r="C319" s="1"/>
      <c r="D319" s="1"/>
    </row>
    <row r="320" spans="1:4" x14ac:dyDescent="0.2">
      <c r="A320" s="2"/>
      <c r="B320" s="1"/>
      <c r="C320" s="1"/>
      <c r="D320" s="1"/>
    </row>
    <row r="321" spans="1:4" x14ac:dyDescent="0.2">
      <c r="A321" s="2"/>
      <c r="B321" s="1"/>
      <c r="C321" s="1"/>
      <c r="D321" s="1"/>
    </row>
    <row r="322" spans="1:4" x14ac:dyDescent="0.2">
      <c r="A322" s="2"/>
      <c r="B322" s="1"/>
      <c r="C322" s="1"/>
      <c r="D322" s="1"/>
    </row>
    <row r="323" spans="1:4" x14ac:dyDescent="0.2">
      <c r="A323" s="2"/>
      <c r="B323" s="1"/>
      <c r="C323" s="1"/>
      <c r="D323" s="1"/>
    </row>
    <row r="324" spans="1:4" x14ac:dyDescent="0.2">
      <c r="A324" s="2"/>
      <c r="B324" s="1"/>
      <c r="C324" s="1"/>
      <c r="D324" s="1"/>
    </row>
    <row r="325" spans="1:4" x14ac:dyDescent="0.2">
      <c r="A325" s="2"/>
      <c r="B325" s="1"/>
      <c r="C325" s="1"/>
      <c r="D325" s="1"/>
    </row>
    <row r="326" spans="1:4" x14ac:dyDescent="0.2">
      <c r="A326" s="2"/>
      <c r="B326" s="1"/>
      <c r="C326" s="1"/>
      <c r="D326" s="1"/>
    </row>
    <row r="327" spans="1:4" x14ac:dyDescent="0.2">
      <c r="A327" s="2"/>
      <c r="B327" s="1"/>
      <c r="C327" s="1"/>
      <c r="D327" s="1"/>
    </row>
    <row r="328" spans="1:4" x14ac:dyDescent="0.2">
      <c r="A328" s="2"/>
      <c r="B328" s="1"/>
      <c r="C328" s="1"/>
      <c r="D328" s="1"/>
    </row>
    <row r="329" spans="1:4" x14ac:dyDescent="0.2">
      <c r="A329" s="2"/>
      <c r="B329" s="1"/>
      <c r="C329" s="1"/>
      <c r="D329" s="1"/>
    </row>
    <row r="330" spans="1:4" x14ac:dyDescent="0.2">
      <c r="A330" s="2"/>
      <c r="B330" s="1"/>
      <c r="C330" s="1"/>
      <c r="D330" s="1"/>
    </row>
    <row r="331" spans="1:4" x14ac:dyDescent="0.2">
      <c r="A331" s="2"/>
      <c r="B331" s="1"/>
      <c r="C331" s="1"/>
      <c r="D331" s="1"/>
    </row>
    <row r="332" spans="1:4" x14ac:dyDescent="0.2">
      <c r="A332" s="2"/>
      <c r="B332" s="1"/>
      <c r="C332" s="1"/>
      <c r="D332" s="1"/>
    </row>
    <row r="333" spans="1:4" x14ac:dyDescent="0.2">
      <c r="A333" s="2"/>
      <c r="B333" s="1"/>
      <c r="C333" s="1"/>
      <c r="D333" s="1"/>
    </row>
    <row r="334" spans="1:4" x14ac:dyDescent="0.2">
      <c r="A334" s="2"/>
      <c r="B334" s="1"/>
      <c r="C334" s="1"/>
      <c r="D334" s="1"/>
    </row>
    <row r="335" spans="1:4" x14ac:dyDescent="0.2">
      <c r="A335" s="2"/>
      <c r="B335" s="1"/>
      <c r="C335" s="1"/>
      <c r="D335" s="1"/>
    </row>
    <row r="336" spans="1:4" x14ac:dyDescent="0.2">
      <c r="A336" s="2"/>
      <c r="B336" s="1"/>
      <c r="C336" s="1"/>
      <c r="D336" s="1"/>
    </row>
    <row r="337" spans="1:4" x14ac:dyDescent="0.2">
      <c r="A337" s="2"/>
      <c r="B337" s="1"/>
      <c r="C337" s="1"/>
      <c r="D337" s="1"/>
    </row>
    <row r="338" spans="1:4" x14ac:dyDescent="0.2">
      <c r="A338" s="2"/>
      <c r="B338" s="1"/>
      <c r="C338" s="1"/>
      <c r="D338" s="1"/>
    </row>
    <row r="339" spans="1:4" x14ac:dyDescent="0.2">
      <c r="A339" s="2"/>
      <c r="B339" s="1"/>
      <c r="C339" s="1"/>
      <c r="D339" s="1"/>
    </row>
    <row r="340" spans="1:4" x14ac:dyDescent="0.2">
      <c r="A340" s="2"/>
      <c r="B340" s="1"/>
      <c r="C340" s="1"/>
      <c r="D340" s="1"/>
    </row>
    <row r="341" spans="1:4" x14ac:dyDescent="0.2">
      <c r="A341" s="2"/>
      <c r="B341" s="1"/>
      <c r="C341" s="1"/>
      <c r="D341" s="1"/>
    </row>
    <row r="342" spans="1:4" x14ac:dyDescent="0.2">
      <c r="A342" s="2"/>
      <c r="B342" s="1"/>
      <c r="C342" s="1"/>
      <c r="D342" s="1"/>
    </row>
    <row r="343" spans="1:4" x14ac:dyDescent="0.2">
      <c r="A343" s="2"/>
      <c r="B343" s="1"/>
      <c r="C343" s="1"/>
      <c r="D343" s="1"/>
    </row>
    <row r="344" spans="1:4" x14ac:dyDescent="0.2">
      <c r="A344" s="2"/>
      <c r="B344" s="1"/>
      <c r="C344" s="1"/>
      <c r="D344" s="1"/>
    </row>
    <row r="345" spans="1:4" x14ac:dyDescent="0.2">
      <c r="A345" s="2"/>
      <c r="B345" s="1"/>
      <c r="C345" s="1"/>
      <c r="D345" s="1"/>
    </row>
    <row r="346" spans="1:4" x14ac:dyDescent="0.2">
      <c r="A346" s="2"/>
      <c r="B346" s="1"/>
      <c r="C346" s="1"/>
      <c r="D346" s="1"/>
    </row>
    <row r="347" spans="1:4" x14ac:dyDescent="0.2">
      <c r="A347" s="2"/>
      <c r="B347" s="1"/>
      <c r="C347" s="1"/>
      <c r="D347" s="1"/>
    </row>
    <row r="348" spans="1:4" x14ac:dyDescent="0.2">
      <c r="A348" s="2"/>
      <c r="B348" s="1"/>
      <c r="C348" s="1"/>
      <c r="D348" s="1"/>
    </row>
    <row r="349" spans="1:4" x14ac:dyDescent="0.2">
      <c r="A349" s="2"/>
      <c r="B349" s="1"/>
      <c r="C349" s="1"/>
      <c r="D349" s="1"/>
    </row>
    <row r="350" spans="1:4" x14ac:dyDescent="0.2">
      <c r="A350" s="2"/>
      <c r="B350" s="1"/>
      <c r="C350" s="1"/>
      <c r="D350" s="1"/>
    </row>
    <row r="351" spans="1:4" x14ac:dyDescent="0.2">
      <c r="A351" s="2"/>
      <c r="B351" s="1"/>
      <c r="C351" s="1"/>
      <c r="D351" s="1"/>
    </row>
    <row r="352" spans="1:4" x14ac:dyDescent="0.2">
      <c r="A352" s="2"/>
      <c r="B352" s="1"/>
      <c r="C352" s="1"/>
      <c r="D352" s="1"/>
    </row>
    <row r="353" spans="1:4" x14ac:dyDescent="0.2">
      <c r="A353" s="2"/>
      <c r="B353" s="1"/>
      <c r="C353" s="1"/>
      <c r="D353" s="1"/>
    </row>
    <row r="354" spans="1:4" x14ac:dyDescent="0.2">
      <c r="A354" s="2"/>
      <c r="B354" s="1"/>
      <c r="C354" s="1"/>
      <c r="D354" s="1"/>
    </row>
    <row r="355" spans="1:4" x14ac:dyDescent="0.2">
      <c r="A355" s="2"/>
      <c r="B355" s="1"/>
      <c r="C355" s="1"/>
      <c r="D355" s="1"/>
    </row>
    <row r="356" spans="1:4" x14ac:dyDescent="0.2">
      <c r="A356" s="2"/>
      <c r="B356" s="1"/>
      <c r="C356" s="1"/>
      <c r="D356" s="1"/>
    </row>
    <row r="357" spans="1:4" x14ac:dyDescent="0.2">
      <c r="A357" s="2"/>
      <c r="B357" s="1"/>
      <c r="C357" s="1"/>
      <c r="D357" s="1"/>
    </row>
    <row r="358" spans="1:4" x14ac:dyDescent="0.2">
      <c r="A358" s="2"/>
      <c r="B358" s="1"/>
      <c r="C358" s="1"/>
      <c r="D358" s="1"/>
    </row>
    <row r="359" spans="1:4" x14ac:dyDescent="0.2">
      <c r="A359" s="2"/>
      <c r="B359" s="1"/>
      <c r="C359" s="1"/>
      <c r="D359" s="1"/>
    </row>
    <row r="360" spans="1:4" x14ac:dyDescent="0.2">
      <c r="A360" s="2"/>
      <c r="B360" s="1"/>
      <c r="C360" s="1"/>
      <c r="D360" s="1"/>
    </row>
    <row r="361" spans="1:4" x14ac:dyDescent="0.2">
      <c r="A361" s="2"/>
      <c r="B361" s="1"/>
      <c r="C361" s="1"/>
      <c r="D361" s="1"/>
    </row>
    <row r="362" spans="1:4" x14ac:dyDescent="0.2">
      <c r="A362" s="2"/>
      <c r="B362" s="1"/>
      <c r="C362" s="1"/>
      <c r="D362" s="1"/>
    </row>
    <row r="363" spans="1:4" x14ac:dyDescent="0.2">
      <c r="A363" s="2"/>
      <c r="B363" s="1"/>
      <c r="C363" s="1"/>
      <c r="D363" s="1"/>
    </row>
    <row r="364" spans="1:4" x14ac:dyDescent="0.2">
      <c r="A364" s="2"/>
      <c r="B364" s="1"/>
      <c r="C364" s="1"/>
      <c r="D364" s="1"/>
    </row>
    <row r="365" spans="1:4" x14ac:dyDescent="0.2">
      <c r="A365" s="2"/>
      <c r="B365" s="1"/>
      <c r="C365" s="1"/>
      <c r="D365" s="1"/>
    </row>
    <row r="366" spans="1:4" x14ac:dyDescent="0.2">
      <c r="A366" s="2"/>
      <c r="B366" s="1"/>
      <c r="C366" s="1"/>
      <c r="D366" s="1"/>
    </row>
    <row r="367" spans="1:4" x14ac:dyDescent="0.2">
      <c r="A367" s="2"/>
      <c r="B367" s="1"/>
      <c r="C367" s="1"/>
      <c r="D367" s="1"/>
    </row>
    <row r="368" spans="1:4" x14ac:dyDescent="0.2">
      <c r="A368" s="2"/>
      <c r="B368" s="1"/>
      <c r="C368" s="1"/>
      <c r="D368" s="1"/>
    </row>
    <row r="369" spans="1:4" x14ac:dyDescent="0.2">
      <c r="A369" s="2"/>
      <c r="B369" s="1"/>
      <c r="C369" s="1"/>
      <c r="D369" s="1"/>
    </row>
    <row r="370" spans="1:4" x14ac:dyDescent="0.2">
      <c r="A370" s="2"/>
      <c r="B370" s="1"/>
      <c r="C370" s="1"/>
      <c r="D370" s="1"/>
    </row>
    <row r="371" spans="1:4" x14ac:dyDescent="0.2">
      <c r="A371" s="2"/>
      <c r="B371" s="1"/>
      <c r="C371" s="1"/>
      <c r="D371" s="1"/>
    </row>
    <row r="372" spans="1:4" x14ac:dyDescent="0.2">
      <c r="A372" s="2"/>
      <c r="B372" s="1"/>
      <c r="C372" s="1"/>
      <c r="D372" s="1"/>
    </row>
    <row r="373" spans="1:4" x14ac:dyDescent="0.2">
      <c r="A373" s="2"/>
      <c r="B373" s="1"/>
      <c r="C373" s="1"/>
      <c r="D373" s="1"/>
    </row>
    <row r="374" spans="1:4" x14ac:dyDescent="0.2">
      <c r="A374" s="2"/>
      <c r="B374" s="1"/>
      <c r="C374" s="1"/>
      <c r="D374" s="1"/>
    </row>
    <row r="375" spans="1:4" x14ac:dyDescent="0.2">
      <c r="A375" s="2"/>
      <c r="B375" s="1"/>
      <c r="C375" s="1"/>
      <c r="D375" s="1"/>
    </row>
    <row r="376" spans="1:4" x14ac:dyDescent="0.2">
      <c r="A376" s="2"/>
      <c r="B376" s="1"/>
      <c r="C376" s="1"/>
      <c r="D376" s="1"/>
    </row>
    <row r="377" spans="1:4" x14ac:dyDescent="0.2">
      <c r="A377" s="2"/>
      <c r="B377" s="1"/>
      <c r="C377" s="1"/>
      <c r="D377" s="1"/>
    </row>
    <row r="378" spans="1:4" x14ac:dyDescent="0.2">
      <c r="A378" s="2"/>
      <c r="B378" s="1"/>
      <c r="C378" s="1"/>
      <c r="D378" s="1"/>
    </row>
    <row r="379" spans="1:4" x14ac:dyDescent="0.2">
      <c r="A379" s="2"/>
      <c r="B379" s="1"/>
      <c r="C379" s="1"/>
      <c r="D379" s="1"/>
    </row>
    <row r="380" spans="1:4" x14ac:dyDescent="0.2">
      <c r="A380" s="2"/>
      <c r="B380" s="1"/>
      <c r="C380" s="1"/>
      <c r="D380" s="1"/>
    </row>
    <row r="381" spans="1:4" x14ac:dyDescent="0.2">
      <c r="A381" s="2"/>
      <c r="B381" s="1"/>
      <c r="C381" s="1"/>
      <c r="D381" s="1"/>
    </row>
    <row r="382" spans="1:4" x14ac:dyDescent="0.2">
      <c r="A382" s="2"/>
      <c r="B382" s="1"/>
      <c r="C382" s="1"/>
      <c r="D382" s="1"/>
    </row>
    <row r="383" spans="1:4" x14ac:dyDescent="0.2">
      <c r="A383" s="2"/>
      <c r="B383" s="1"/>
      <c r="C383" s="1"/>
      <c r="D383" s="1"/>
    </row>
    <row r="384" spans="1:4" x14ac:dyDescent="0.2">
      <c r="A384" s="2"/>
      <c r="B384" s="1"/>
      <c r="C384" s="1"/>
      <c r="D384" s="1"/>
    </row>
    <row r="385" spans="1:4" x14ac:dyDescent="0.2">
      <c r="A385" s="2"/>
      <c r="B385" s="1"/>
      <c r="C385" s="1"/>
      <c r="D385" s="1"/>
    </row>
    <row r="386" spans="1:4" x14ac:dyDescent="0.2">
      <c r="A386" s="2"/>
      <c r="B386" s="1"/>
      <c r="C386" s="1"/>
      <c r="D386" s="1"/>
    </row>
    <row r="387" spans="1:4" x14ac:dyDescent="0.2">
      <c r="A387" s="2"/>
      <c r="B387" s="1"/>
      <c r="C387" s="1"/>
      <c r="D387" s="1"/>
    </row>
    <row r="388" spans="1:4" x14ac:dyDescent="0.2">
      <c r="A388" s="2"/>
      <c r="B388" s="1"/>
      <c r="C388" s="1"/>
      <c r="D388" s="1"/>
    </row>
    <row r="389" spans="1:4" x14ac:dyDescent="0.2">
      <c r="A389" s="2"/>
      <c r="B389" s="1"/>
      <c r="C389" s="1"/>
      <c r="D389" s="1"/>
    </row>
    <row r="390" spans="1:4" x14ac:dyDescent="0.2">
      <c r="A390" s="2"/>
      <c r="B390" s="1"/>
      <c r="C390" s="1"/>
      <c r="D390" s="1"/>
    </row>
    <row r="391" spans="1:4" x14ac:dyDescent="0.2">
      <c r="A391" s="2"/>
      <c r="B391" s="1"/>
      <c r="C391" s="1"/>
      <c r="D391" s="1"/>
    </row>
    <row r="392" spans="1:4" x14ac:dyDescent="0.2">
      <c r="A392" s="2"/>
      <c r="B392" s="1"/>
      <c r="C392" s="1"/>
      <c r="D392" s="1"/>
    </row>
    <row r="393" spans="1:4" x14ac:dyDescent="0.2">
      <c r="A393" s="2"/>
      <c r="B393" s="1"/>
      <c r="C393" s="1"/>
      <c r="D393" s="1"/>
    </row>
    <row r="394" spans="1:4" x14ac:dyDescent="0.2">
      <c r="A394" s="2"/>
      <c r="B394" s="1"/>
      <c r="C394" s="1"/>
      <c r="D394" s="1"/>
    </row>
    <row r="395" spans="1:4" x14ac:dyDescent="0.2">
      <c r="A395" s="2"/>
      <c r="B395" s="1"/>
      <c r="C395" s="1"/>
      <c r="D395" s="1"/>
    </row>
    <row r="396" spans="1:4" x14ac:dyDescent="0.2">
      <c r="A396" s="2"/>
      <c r="B396" s="1"/>
      <c r="C396" s="1"/>
      <c r="D396" s="1"/>
    </row>
    <row r="397" spans="1:4" x14ac:dyDescent="0.2">
      <c r="A397" s="2"/>
      <c r="B397" s="1"/>
      <c r="C397" s="1"/>
      <c r="D397" s="1"/>
    </row>
    <row r="398" spans="1:4" x14ac:dyDescent="0.2">
      <c r="A398" s="2"/>
      <c r="B398" s="1"/>
      <c r="C398" s="1"/>
      <c r="D398" s="1"/>
    </row>
    <row r="399" spans="1:4" x14ac:dyDescent="0.2">
      <c r="A399" s="2"/>
      <c r="B399" s="1"/>
      <c r="C399" s="1"/>
      <c r="D399" s="1"/>
    </row>
    <row r="400" spans="1:4" x14ac:dyDescent="0.2">
      <c r="A400" s="2"/>
      <c r="B400" s="1"/>
      <c r="C400" s="1"/>
      <c r="D400" s="1"/>
    </row>
    <row r="401" spans="1:4" x14ac:dyDescent="0.2">
      <c r="A401" s="2"/>
      <c r="B401" s="1"/>
      <c r="C401" s="1"/>
      <c r="D401" s="1"/>
    </row>
    <row r="402" spans="1:4" x14ac:dyDescent="0.2">
      <c r="A402" s="2"/>
      <c r="B402" s="1"/>
      <c r="C402" s="1"/>
      <c r="D402" s="1"/>
    </row>
    <row r="403" spans="1:4" x14ac:dyDescent="0.2">
      <c r="A403" s="2"/>
      <c r="B403" s="1"/>
      <c r="C403" s="1"/>
      <c r="D403" s="1"/>
    </row>
    <row r="404" spans="1:4" x14ac:dyDescent="0.2">
      <c r="A404" s="2"/>
      <c r="B404" s="1"/>
      <c r="C404" s="1"/>
      <c r="D404" s="1"/>
    </row>
    <row r="405" spans="1:4" x14ac:dyDescent="0.2">
      <c r="A405" s="2"/>
      <c r="B405" s="1"/>
      <c r="C405" s="1"/>
      <c r="D405" s="1"/>
    </row>
    <row r="406" spans="1:4" x14ac:dyDescent="0.2">
      <c r="A406" s="2"/>
      <c r="B406" s="1"/>
      <c r="C406" s="1"/>
      <c r="D406" s="1"/>
    </row>
    <row r="407" spans="1:4" x14ac:dyDescent="0.2">
      <c r="A407" s="2"/>
      <c r="B407" s="1"/>
      <c r="C407" s="1"/>
      <c r="D407" s="1"/>
    </row>
    <row r="408" spans="1:4" x14ac:dyDescent="0.2">
      <c r="A408" s="2"/>
      <c r="B408" s="1"/>
      <c r="C408" s="1"/>
      <c r="D408" s="1"/>
    </row>
    <row r="409" spans="1:4" x14ac:dyDescent="0.2">
      <c r="A409" s="2"/>
      <c r="B409" s="1"/>
      <c r="C409" s="1"/>
      <c r="D409" s="1"/>
    </row>
    <row r="410" spans="1:4" x14ac:dyDescent="0.2">
      <c r="A410" s="2"/>
      <c r="B410" s="1"/>
      <c r="C410" s="1"/>
      <c r="D410" s="1"/>
    </row>
    <row r="411" spans="1:4" x14ac:dyDescent="0.2">
      <c r="A411" s="2"/>
      <c r="B411" s="1"/>
      <c r="C411" s="1"/>
      <c r="D411" s="1"/>
    </row>
    <row r="412" spans="1:4" x14ac:dyDescent="0.2">
      <c r="A412" s="2"/>
      <c r="B412" s="1"/>
      <c r="C412" s="1"/>
      <c r="D412" s="1"/>
    </row>
    <row r="413" spans="1:4" x14ac:dyDescent="0.2">
      <c r="A413" s="2"/>
      <c r="B413" s="1"/>
      <c r="C413" s="1"/>
      <c r="D413" s="1"/>
    </row>
    <row r="414" spans="1:4" x14ac:dyDescent="0.2">
      <c r="A414" s="2"/>
      <c r="B414" s="1"/>
      <c r="C414" s="1"/>
      <c r="D414" s="1"/>
    </row>
    <row r="415" spans="1:4" x14ac:dyDescent="0.2">
      <c r="A415" s="2"/>
      <c r="B415" s="1"/>
      <c r="C415" s="1"/>
      <c r="D415" s="1"/>
    </row>
    <row r="416" spans="1:4" x14ac:dyDescent="0.2">
      <c r="A416" s="2"/>
      <c r="B416" s="1"/>
      <c r="C416" s="1"/>
      <c r="D416" s="1"/>
    </row>
    <row r="417" spans="1:4" x14ac:dyDescent="0.2">
      <c r="A417" s="2"/>
      <c r="B417" s="1"/>
      <c r="C417" s="1"/>
      <c r="D417" s="1"/>
    </row>
    <row r="418" spans="1:4" x14ac:dyDescent="0.2">
      <c r="A418" s="2"/>
      <c r="B418" s="1"/>
      <c r="C418" s="1"/>
      <c r="D418" s="1"/>
    </row>
    <row r="419" spans="1:4" x14ac:dyDescent="0.2">
      <c r="A419" s="2"/>
      <c r="B419" s="1"/>
      <c r="C419" s="1"/>
      <c r="D419" s="1"/>
    </row>
    <row r="420" spans="1:4" x14ac:dyDescent="0.2">
      <c r="A420" s="2"/>
      <c r="B420" s="1"/>
      <c r="C420" s="1"/>
      <c r="D420" s="1"/>
    </row>
    <row r="421" spans="1:4" x14ac:dyDescent="0.2">
      <c r="A421" s="2"/>
      <c r="B421" s="1"/>
      <c r="C421" s="1"/>
      <c r="D421" s="1"/>
    </row>
    <row r="422" spans="1:4" x14ac:dyDescent="0.2">
      <c r="A422" s="2"/>
      <c r="B422" s="1"/>
      <c r="C422" s="1"/>
      <c r="D422" s="1"/>
    </row>
    <row r="423" spans="1:4" x14ac:dyDescent="0.2">
      <c r="A423" s="2"/>
      <c r="B423" s="1"/>
      <c r="C423" s="1"/>
      <c r="D423" s="1"/>
    </row>
    <row r="424" spans="1:4" x14ac:dyDescent="0.2">
      <c r="A424" s="2"/>
      <c r="B424" s="1"/>
      <c r="C424" s="1"/>
      <c r="D424" s="1"/>
    </row>
    <row r="425" spans="1:4" x14ac:dyDescent="0.2">
      <c r="A425" s="2"/>
      <c r="B425" s="1"/>
      <c r="C425" s="1"/>
      <c r="D425" s="1"/>
    </row>
    <row r="426" spans="1:4" x14ac:dyDescent="0.2">
      <c r="A426" s="2"/>
      <c r="B426" s="1"/>
      <c r="C426" s="1"/>
      <c r="D426" s="1"/>
    </row>
    <row r="427" spans="1:4" x14ac:dyDescent="0.2">
      <c r="A427" s="2"/>
      <c r="B427" s="1"/>
      <c r="C427" s="1"/>
      <c r="D427" s="1"/>
    </row>
    <row r="428" spans="1:4" x14ac:dyDescent="0.2">
      <c r="A428" s="2"/>
      <c r="B428" s="1"/>
      <c r="C428" s="1"/>
      <c r="D428" s="1"/>
    </row>
    <row r="429" spans="1:4" x14ac:dyDescent="0.2">
      <c r="A429" s="2"/>
      <c r="B429" s="1"/>
      <c r="C429" s="1"/>
      <c r="D429" s="1"/>
    </row>
    <row r="430" spans="1:4" x14ac:dyDescent="0.2">
      <c r="A430" s="2"/>
      <c r="B430" s="1"/>
      <c r="C430" s="1"/>
      <c r="D430" s="1"/>
    </row>
    <row r="431" spans="1:4" x14ac:dyDescent="0.2">
      <c r="A431" s="2"/>
      <c r="B431" s="1"/>
      <c r="C431" s="1"/>
      <c r="D431" s="1"/>
    </row>
    <row r="432" spans="1:4" x14ac:dyDescent="0.2">
      <c r="A432" s="2"/>
      <c r="B432" s="1"/>
      <c r="C432" s="1"/>
      <c r="D432" s="1"/>
    </row>
    <row r="433" spans="1:4" x14ac:dyDescent="0.2">
      <c r="A433" s="2"/>
      <c r="B433" s="1"/>
      <c r="C433" s="1"/>
      <c r="D433" s="1"/>
    </row>
    <row r="434" spans="1:4" x14ac:dyDescent="0.2">
      <c r="A434" s="2"/>
      <c r="B434" s="1"/>
      <c r="C434" s="1"/>
      <c r="D434" s="1"/>
    </row>
    <row r="435" spans="1:4" x14ac:dyDescent="0.2">
      <c r="A435" s="2"/>
      <c r="B435" s="1"/>
      <c r="C435" s="1"/>
      <c r="D435" s="1"/>
    </row>
    <row r="436" spans="1:4" x14ac:dyDescent="0.2">
      <c r="A436" s="2"/>
      <c r="B436" s="1"/>
      <c r="C436" s="1"/>
      <c r="D436" s="1"/>
    </row>
    <row r="437" spans="1:4" x14ac:dyDescent="0.2">
      <c r="A437" s="2"/>
      <c r="B437" s="1"/>
      <c r="C437" s="1"/>
      <c r="D437" s="1"/>
    </row>
    <row r="438" spans="1:4" x14ac:dyDescent="0.2">
      <c r="A438" s="2"/>
      <c r="B438" s="1"/>
      <c r="C438" s="1"/>
      <c r="D438" s="1"/>
    </row>
    <row r="439" spans="1:4" x14ac:dyDescent="0.2">
      <c r="A439" s="2"/>
      <c r="B439" s="1"/>
      <c r="C439" s="1"/>
      <c r="D439" s="1"/>
    </row>
    <row r="440" spans="1:4" x14ac:dyDescent="0.2">
      <c r="A440" s="2"/>
      <c r="B440" s="1"/>
      <c r="C440" s="1"/>
      <c r="D440" s="1"/>
    </row>
    <row r="441" spans="1:4" x14ac:dyDescent="0.2">
      <c r="A441" s="2"/>
      <c r="B441" s="1"/>
      <c r="C441" s="1"/>
      <c r="D441" s="1"/>
    </row>
    <row r="442" spans="1:4" x14ac:dyDescent="0.2">
      <c r="A442" s="2"/>
      <c r="B442" s="1"/>
      <c r="C442" s="1"/>
      <c r="D442" s="1"/>
    </row>
    <row r="443" spans="1:4" x14ac:dyDescent="0.2">
      <c r="A443" s="2"/>
      <c r="B443" s="1"/>
      <c r="C443" s="1"/>
      <c r="D443" s="1"/>
    </row>
    <row r="444" spans="1:4" x14ac:dyDescent="0.2">
      <c r="A444" s="2"/>
      <c r="B444" s="1"/>
      <c r="C444" s="1"/>
      <c r="D444" s="1"/>
    </row>
    <row r="445" spans="1:4" x14ac:dyDescent="0.2">
      <c r="A445" s="2"/>
      <c r="B445" s="1"/>
      <c r="C445" s="1"/>
      <c r="D445" s="1"/>
    </row>
    <row r="446" spans="1:4" x14ac:dyDescent="0.2">
      <c r="A446" s="2"/>
      <c r="B446" s="1"/>
      <c r="C446" s="1"/>
      <c r="D446" s="1"/>
    </row>
    <row r="447" spans="1:4" x14ac:dyDescent="0.2">
      <c r="A447" s="2"/>
      <c r="B447" s="1"/>
      <c r="C447" s="1"/>
      <c r="D447" s="1"/>
    </row>
    <row r="448" spans="1:4" x14ac:dyDescent="0.2">
      <c r="A448" s="2"/>
      <c r="B448" s="1"/>
      <c r="C448" s="1"/>
      <c r="D448" s="1"/>
    </row>
    <row r="449" spans="1:4" x14ac:dyDescent="0.2">
      <c r="A449" s="2"/>
      <c r="B449" s="1"/>
      <c r="C449" s="1"/>
      <c r="D449" s="1"/>
    </row>
    <row r="450" spans="1:4" x14ac:dyDescent="0.2">
      <c r="A450" s="2"/>
      <c r="B450" s="1"/>
      <c r="C450" s="1"/>
      <c r="D450" s="1"/>
    </row>
    <row r="451" spans="1:4" x14ac:dyDescent="0.2">
      <c r="A451" s="2"/>
      <c r="B451" s="1"/>
      <c r="C451" s="1"/>
      <c r="D451" s="1"/>
    </row>
    <row r="452" spans="1:4" x14ac:dyDescent="0.2">
      <c r="A452" s="2"/>
      <c r="B452" s="1"/>
      <c r="C452" s="1"/>
      <c r="D452" s="1"/>
    </row>
    <row r="453" spans="1:4" x14ac:dyDescent="0.2">
      <c r="A453" s="2"/>
      <c r="B453" s="1"/>
      <c r="C453" s="1"/>
      <c r="D453" s="1"/>
    </row>
    <row r="454" spans="1:4" x14ac:dyDescent="0.2">
      <c r="A454" s="2"/>
      <c r="B454" s="1"/>
      <c r="C454" s="1"/>
      <c r="D454" s="1"/>
    </row>
    <row r="455" spans="1:4" x14ac:dyDescent="0.2">
      <c r="A455" s="2"/>
      <c r="B455" s="1"/>
      <c r="C455" s="1"/>
      <c r="D455" s="1"/>
    </row>
    <row r="456" spans="1:4" x14ac:dyDescent="0.2">
      <c r="A456" s="2"/>
      <c r="B456" s="1"/>
      <c r="C456" s="1"/>
      <c r="D456" s="1"/>
    </row>
    <row r="457" spans="1:4" x14ac:dyDescent="0.2">
      <c r="A457" s="2"/>
      <c r="B457" s="1"/>
      <c r="C457" s="1"/>
      <c r="D457" s="1"/>
    </row>
    <row r="458" spans="1:4" x14ac:dyDescent="0.2">
      <c r="A458" s="2"/>
      <c r="B458" s="1"/>
      <c r="C458" s="1"/>
      <c r="D458" s="1"/>
    </row>
    <row r="459" spans="1:4" x14ac:dyDescent="0.2">
      <c r="A459" s="2"/>
      <c r="B459" s="1"/>
      <c r="C459" s="1"/>
      <c r="D459" s="1"/>
    </row>
    <row r="460" spans="1:4" x14ac:dyDescent="0.2">
      <c r="A460" s="2"/>
      <c r="B460" s="1"/>
      <c r="C460" s="1"/>
      <c r="D460" s="1"/>
    </row>
    <row r="461" spans="1:4" x14ac:dyDescent="0.2">
      <c r="A461" s="2"/>
      <c r="B461" s="1"/>
      <c r="C461" s="1"/>
      <c r="D461" s="1"/>
    </row>
    <row r="462" spans="1:4" x14ac:dyDescent="0.2">
      <c r="A462" s="2"/>
      <c r="B462" s="1"/>
      <c r="C462" s="1"/>
      <c r="D462" s="1"/>
    </row>
    <row r="463" spans="1:4" x14ac:dyDescent="0.2">
      <c r="A463" s="2"/>
      <c r="B463" s="1"/>
      <c r="C463" s="1"/>
      <c r="D463" s="1"/>
    </row>
    <row r="464" spans="1:4" x14ac:dyDescent="0.2">
      <c r="A464" s="2"/>
      <c r="B464" s="1"/>
      <c r="C464" s="1"/>
      <c r="D464" s="1"/>
    </row>
    <row r="465" spans="1:4" x14ac:dyDescent="0.2">
      <c r="A465" s="2"/>
      <c r="B465" s="1"/>
      <c r="C465" s="1"/>
      <c r="D465" s="1"/>
    </row>
    <row r="466" spans="1:4" x14ac:dyDescent="0.2">
      <c r="A466" s="2"/>
      <c r="B466" s="1"/>
      <c r="C466" s="1"/>
      <c r="D466" s="1"/>
    </row>
    <row r="467" spans="1:4" x14ac:dyDescent="0.2">
      <c r="A467" s="2"/>
      <c r="B467" s="1"/>
      <c r="C467" s="1"/>
      <c r="D467" s="1"/>
    </row>
    <row r="468" spans="1:4" x14ac:dyDescent="0.2">
      <c r="A468" s="2"/>
      <c r="B468" s="1"/>
      <c r="C468" s="1"/>
      <c r="D468" s="1"/>
    </row>
    <row r="469" spans="1:4" x14ac:dyDescent="0.2">
      <c r="A469" s="2"/>
      <c r="B469" s="1"/>
      <c r="C469" s="1"/>
      <c r="D469" s="1"/>
    </row>
    <row r="470" spans="1:4" x14ac:dyDescent="0.2">
      <c r="A470" s="2"/>
      <c r="B470" s="1"/>
      <c r="C470" s="1"/>
      <c r="D470" s="1"/>
    </row>
    <row r="471" spans="1:4" x14ac:dyDescent="0.2">
      <c r="A471" s="2"/>
      <c r="B471" s="1"/>
      <c r="C471" s="1"/>
      <c r="D471" s="1"/>
    </row>
    <row r="472" spans="1:4" x14ac:dyDescent="0.2">
      <c r="A472" s="2"/>
      <c r="B472" s="1"/>
      <c r="C472" s="1"/>
      <c r="D472" s="1"/>
    </row>
    <row r="473" spans="1:4" x14ac:dyDescent="0.2">
      <c r="A473" s="2"/>
      <c r="B473" s="1"/>
      <c r="C473" s="1"/>
      <c r="D473" s="1"/>
    </row>
    <row r="474" spans="1:4" x14ac:dyDescent="0.2">
      <c r="A474" s="2"/>
      <c r="B474" s="1"/>
      <c r="C474" s="1"/>
      <c r="D474" s="1"/>
    </row>
    <row r="475" spans="1:4" x14ac:dyDescent="0.2">
      <c r="A475" s="2"/>
      <c r="B475" s="1"/>
      <c r="C475" s="1"/>
      <c r="D475" s="1"/>
    </row>
    <row r="476" spans="1:4" x14ac:dyDescent="0.2">
      <c r="A476" s="2"/>
      <c r="B476" s="1"/>
      <c r="C476" s="1"/>
      <c r="D476" s="1"/>
    </row>
    <row r="477" spans="1:4" x14ac:dyDescent="0.2">
      <c r="A477" s="2"/>
      <c r="B477" s="1"/>
      <c r="C477" s="1"/>
      <c r="D477" s="1"/>
    </row>
    <row r="478" spans="1:4" x14ac:dyDescent="0.2">
      <c r="A478" s="2"/>
      <c r="B478" s="1"/>
      <c r="C478" s="1"/>
      <c r="D478" s="1"/>
    </row>
    <row r="479" spans="1:4" x14ac:dyDescent="0.2">
      <c r="A479" s="2"/>
      <c r="B479" s="1"/>
      <c r="C479" s="1"/>
      <c r="D479" s="1"/>
    </row>
    <row r="480" spans="1:4" x14ac:dyDescent="0.2">
      <c r="A480" s="2"/>
      <c r="B480" s="1"/>
      <c r="C480" s="1"/>
      <c r="D480" s="1"/>
    </row>
    <row r="481" spans="1:4" x14ac:dyDescent="0.2">
      <c r="A481" s="2"/>
      <c r="B481" s="1"/>
      <c r="C481" s="1"/>
      <c r="D481" s="1"/>
    </row>
    <row r="482" spans="1:4" x14ac:dyDescent="0.2">
      <c r="A482" s="2"/>
      <c r="B482" s="1"/>
      <c r="C482" s="1"/>
      <c r="D482" s="1"/>
    </row>
    <row r="483" spans="1:4" x14ac:dyDescent="0.2">
      <c r="A483" s="2"/>
      <c r="B483" s="1"/>
      <c r="C483" s="1"/>
      <c r="D483" s="1"/>
    </row>
    <row r="484" spans="1:4" x14ac:dyDescent="0.2">
      <c r="A484" s="2"/>
      <c r="B484" s="1"/>
      <c r="C484" s="1"/>
      <c r="D484" s="1"/>
    </row>
    <row r="485" spans="1:4" x14ac:dyDescent="0.2">
      <c r="A485" s="2"/>
      <c r="B485" s="1"/>
      <c r="C485" s="1"/>
      <c r="D485" s="1"/>
    </row>
    <row r="486" spans="1:4" x14ac:dyDescent="0.2">
      <c r="A486" s="2"/>
      <c r="B486" s="1"/>
      <c r="C486" s="1"/>
      <c r="D486" s="1"/>
    </row>
    <row r="487" spans="1:4" x14ac:dyDescent="0.2">
      <c r="A487" s="2"/>
      <c r="B487" s="1"/>
      <c r="C487" s="1"/>
      <c r="D487" s="1"/>
    </row>
    <row r="488" spans="1:4" x14ac:dyDescent="0.2">
      <c r="A488" s="2"/>
      <c r="B488" s="1"/>
      <c r="C488" s="1"/>
      <c r="D488" s="1"/>
    </row>
    <row r="489" spans="1:4" x14ac:dyDescent="0.2">
      <c r="A489" s="2"/>
      <c r="B489" s="1"/>
      <c r="C489" s="1"/>
      <c r="D489" s="1"/>
    </row>
    <row r="490" spans="1:4" x14ac:dyDescent="0.2">
      <c r="A490" s="2"/>
      <c r="B490" s="1"/>
      <c r="C490" s="1"/>
      <c r="D490" s="1"/>
    </row>
    <row r="491" spans="1:4" x14ac:dyDescent="0.2">
      <c r="A491" s="2"/>
      <c r="B491" s="1"/>
      <c r="C491" s="1"/>
      <c r="D491" s="1"/>
    </row>
    <row r="492" spans="1:4" x14ac:dyDescent="0.2">
      <c r="A492" s="2"/>
      <c r="B492" s="1"/>
      <c r="C492" s="1"/>
      <c r="D492" s="1"/>
    </row>
    <row r="493" spans="1:4" x14ac:dyDescent="0.2">
      <c r="A493" s="2"/>
      <c r="B493" s="1"/>
      <c r="C493" s="1"/>
      <c r="D493" s="1"/>
    </row>
    <row r="494" spans="1:4" x14ac:dyDescent="0.2">
      <c r="A494" s="2"/>
      <c r="B494" s="1"/>
      <c r="C494" s="1"/>
      <c r="D494" s="1"/>
    </row>
    <row r="495" spans="1:4" x14ac:dyDescent="0.2">
      <c r="A495" s="2"/>
      <c r="B495" s="1"/>
      <c r="C495" s="1"/>
      <c r="D495" s="1"/>
    </row>
    <row r="496" spans="1:4" x14ac:dyDescent="0.2">
      <c r="A496" s="2"/>
      <c r="B496" s="1"/>
      <c r="C496" s="1"/>
      <c r="D496" s="1"/>
    </row>
    <row r="497" spans="1:4" x14ac:dyDescent="0.2">
      <c r="A497" s="2"/>
      <c r="B497" s="1"/>
      <c r="C497" s="1"/>
      <c r="D497" s="1"/>
    </row>
    <row r="498" spans="1:4" x14ac:dyDescent="0.2">
      <c r="A498" s="2"/>
      <c r="B498" s="1"/>
      <c r="C498" s="1"/>
      <c r="D498" s="1"/>
    </row>
    <row r="499" spans="1:4" x14ac:dyDescent="0.2">
      <c r="A499" s="2"/>
      <c r="B499" s="1"/>
      <c r="C499" s="1"/>
      <c r="D499" s="1"/>
    </row>
    <row r="500" spans="1:4" x14ac:dyDescent="0.2">
      <c r="A500" s="2"/>
      <c r="B500" s="1"/>
      <c r="C500" s="1"/>
      <c r="D500" s="1"/>
    </row>
    <row r="501" spans="1:4" x14ac:dyDescent="0.2">
      <c r="A501" s="2"/>
      <c r="B501" s="1"/>
      <c r="C501" s="1"/>
      <c r="D501" s="1"/>
    </row>
    <row r="502" spans="1:4" x14ac:dyDescent="0.2">
      <c r="A502" s="2"/>
      <c r="B502" s="1"/>
      <c r="C502" s="1"/>
      <c r="D502" s="1"/>
    </row>
    <row r="503" spans="1:4" x14ac:dyDescent="0.2">
      <c r="A503" s="2"/>
      <c r="B503" s="1"/>
      <c r="C503" s="1"/>
      <c r="D503" s="1"/>
    </row>
    <row r="504" spans="1:4" x14ac:dyDescent="0.2">
      <c r="A504" s="2"/>
      <c r="B504" s="1"/>
      <c r="C504" s="1"/>
      <c r="D504" s="1"/>
    </row>
    <row r="505" spans="1:4" x14ac:dyDescent="0.2">
      <c r="A505" s="2"/>
      <c r="B505" s="1"/>
      <c r="C505" s="1"/>
      <c r="D505" s="1"/>
    </row>
    <row r="506" spans="1:4" x14ac:dyDescent="0.2">
      <c r="A506" s="2"/>
      <c r="B506" s="1"/>
      <c r="C506" s="1"/>
      <c r="D506" s="1"/>
    </row>
    <row r="507" spans="1:4" x14ac:dyDescent="0.2">
      <c r="A507" s="2"/>
      <c r="B507" s="1"/>
      <c r="C507" s="1"/>
      <c r="D507" s="1"/>
    </row>
    <row r="508" spans="1:4" x14ac:dyDescent="0.2">
      <c r="A508" s="2"/>
      <c r="B508" s="1"/>
      <c r="C508" s="1"/>
      <c r="D508" s="1"/>
    </row>
    <row r="509" spans="1:4" x14ac:dyDescent="0.2">
      <c r="A509" s="2"/>
      <c r="B509" s="1"/>
      <c r="C509" s="1"/>
      <c r="D509" s="1"/>
    </row>
    <row r="510" spans="1:4" x14ac:dyDescent="0.2">
      <c r="A510" s="2"/>
      <c r="B510" s="1"/>
      <c r="C510" s="1"/>
      <c r="D510" s="1"/>
    </row>
    <row r="511" spans="1:4" x14ac:dyDescent="0.2">
      <c r="A511" s="2"/>
      <c r="B511" s="1"/>
      <c r="C511" s="1"/>
      <c r="D511" s="1"/>
    </row>
    <row r="512" spans="1:4" x14ac:dyDescent="0.2">
      <c r="A512" s="2"/>
      <c r="B512" s="1"/>
      <c r="C512" s="1"/>
      <c r="D512" s="1"/>
    </row>
    <row r="513" spans="1:4" x14ac:dyDescent="0.2">
      <c r="A513" s="2"/>
      <c r="B513" s="1"/>
      <c r="C513" s="1"/>
      <c r="D513" s="1"/>
    </row>
    <row r="514" spans="1:4" x14ac:dyDescent="0.2">
      <c r="A514" s="2"/>
      <c r="B514" s="1"/>
      <c r="C514" s="1"/>
      <c r="D514" s="1"/>
    </row>
    <row r="515" spans="1:4" x14ac:dyDescent="0.2">
      <c r="A515" s="2"/>
      <c r="B515" s="1"/>
      <c r="C515" s="1"/>
      <c r="D515" s="1"/>
    </row>
    <row r="516" spans="1:4" x14ac:dyDescent="0.2">
      <c r="A516" s="2"/>
      <c r="B516" s="1"/>
      <c r="C516" s="1"/>
      <c r="D516" s="1"/>
    </row>
    <row r="517" spans="1:4" x14ac:dyDescent="0.2">
      <c r="A517" s="2"/>
      <c r="B517" s="1"/>
      <c r="C517" s="1"/>
      <c r="D517" s="1"/>
    </row>
    <row r="518" spans="1:4" x14ac:dyDescent="0.2">
      <c r="A518" s="2"/>
      <c r="B518" s="1"/>
      <c r="C518" s="1"/>
      <c r="D518" s="1"/>
    </row>
    <row r="519" spans="1:4" x14ac:dyDescent="0.2">
      <c r="A519" s="2"/>
      <c r="B519" s="1"/>
      <c r="C519" s="1"/>
      <c r="D519" s="1"/>
    </row>
    <row r="520" spans="1:4" x14ac:dyDescent="0.2">
      <c r="A520" s="2"/>
      <c r="B520" s="1"/>
      <c r="C520" s="1"/>
      <c r="D520" s="1"/>
    </row>
    <row r="521" spans="1:4" x14ac:dyDescent="0.2">
      <c r="A521" s="2"/>
      <c r="B521" s="1"/>
      <c r="C521" s="1"/>
      <c r="D521" s="1"/>
    </row>
    <row r="522" spans="1:4" x14ac:dyDescent="0.2">
      <c r="A522" s="2"/>
      <c r="B522" s="1"/>
      <c r="C522" s="1"/>
      <c r="D522" s="1"/>
    </row>
    <row r="523" spans="1:4" x14ac:dyDescent="0.2">
      <c r="A523" s="2"/>
      <c r="B523" s="1"/>
      <c r="C523" s="1"/>
      <c r="D523" s="1"/>
    </row>
    <row r="524" spans="1:4" x14ac:dyDescent="0.2">
      <c r="A524" s="2"/>
      <c r="B524" s="1"/>
      <c r="C524" s="1"/>
      <c r="D524" s="1"/>
    </row>
    <row r="525" spans="1:4" x14ac:dyDescent="0.2">
      <c r="A525" s="2"/>
      <c r="B525" s="1"/>
      <c r="C525" s="1"/>
      <c r="D525" s="1"/>
    </row>
    <row r="526" spans="1:4" x14ac:dyDescent="0.2">
      <c r="A526" s="2"/>
      <c r="B526" s="1"/>
      <c r="C526" s="1"/>
      <c r="D526" s="1"/>
    </row>
    <row r="527" spans="1:4" x14ac:dyDescent="0.2">
      <c r="A527" s="2"/>
      <c r="B527" s="1"/>
      <c r="C527" s="1"/>
      <c r="D527" s="1"/>
    </row>
    <row r="528" spans="1:4" x14ac:dyDescent="0.2">
      <c r="A528" s="2"/>
      <c r="B528" s="1"/>
      <c r="C528" s="1"/>
      <c r="D528" s="1"/>
    </row>
    <row r="529" spans="1:4" x14ac:dyDescent="0.2">
      <c r="A529" s="2"/>
      <c r="B529" s="1"/>
      <c r="C529" s="1"/>
      <c r="D529" s="1"/>
    </row>
    <row r="530" spans="1:4" x14ac:dyDescent="0.2">
      <c r="A530" s="2"/>
      <c r="B530" s="1"/>
      <c r="C530" s="1"/>
      <c r="D530" s="1"/>
    </row>
    <row r="531" spans="1:4" x14ac:dyDescent="0.2">
      <c r="A531" s="2"/>
      <c r="B531" s="1"/>
      <c r="C531" s="1"/>
      <c r="D531" s="1"/>
    </row>
    <row r="532" spans="1:4" x14ac:dyDescent="0.2">
      <c r="A532" s="2"/>
      <c r="B532" s="1"/>
      <c r="C532" s="1"/>
      <c r="D532" s="1"/>
    </row>
    <row r="533" spans="1:4" x14ac:dyDescent="0.2">
      <c r="A533" s="2"/>
      <c r="B533" s="1"/>
      <c r="C533" s="1"/>
      <c r="D533" s="1"/>
    </row>
    <row r="534" spans="1:4" x14ac:dyDescent="0.2">
      <c r="A534" s="2"/>
      <c r="B534" s="1"/>
      <c r="C534" s="1"/>
      <c r="D534" s="1"/>
    </row>
    <row r="535" spans="1:4" x14ac:dyDescent="0.2">
      <c r="A535" s="2"/>
      <c r="B535" s="1"/>
      <c r="C535" s="1"/>
      <c r="D535" s="1"/>
    </row>
    <row r="536" spans="1:4" x14ac:dyDescent="0.2">
      <c r="A536" s="2"/>
      <c r="B536" s="1"/>
      <c r="C536" s="1"/>
      <c r="D536" s="1"/>
    </row>
    <row r="537" spans="1:4" x14ac:dyDescent="0.2">
      <c r="A537" s="2"/>
      <c r="B537" s="1"/>
      <c r="C537" s="1"/>
      <c r="D537" s="1"/>
    </row>
    <row r="538" spans="1:4" x14ac:dyDescent="0.2">
      <c r="A538" s="2"/>
      <c r="B538" s="1"/>
      <c r="C538" s="1"/>
      <c r="D538" s="1"/>
    </row>
    <row r="539" spans="1:4" x14ac:dyDescent="0.2">
      <c r="A539" s="2"/>
      <c r="B539" s="1"/>
      <c r="C539" s="1"/>
      <c r="D539" s="1"/>
    </row>
    <row r="540" spans="1:4" x14ac:dyDescent="0.2">
      <c r="A540" s="2"/>
      <c r="B540" s="1"/>
      <c r="C540" s="1"/>
      <c r="D540" s="1"/>
    </row>
    <row r="541" spans="1:4" x14ac:dyDescent="0.2">
      <c r="A541" s="2"/>
      <c r="B541" s="1"/>
      <c r="C541" s="1"/>
      <c r="D541" s="1"/>
    </row>
    <row r="542" spans="1:4" x14ac:dyDescent="0.2">
      <c r="A542" s="2"/>
      <c r="B542" s="1"/>
      <c r="C542" s="1"/>
      <c r="D542" s="1"/>
    </row>
    <row r="543" spans="1:4" x14ac:dyDescent="0.2">
      <c r="A543" s="2"/>
      <c r="B543" s="1"/>
      <c r="C543" s="1"/>
      <c r="D543" s="1"/>
    </row>
    <row r="544" spans="1:4" x14ac:dyDescent="0.2">
      <c r="A544" s="2"/>
      <c r="B544" s="1"/>
      <c r="C544" s="1"/>
      <c r="D544" s="1"/>
    </row>
    <row r="545" spans="1:4" x14ac:dyDescent="0.2">
      <c r="A545" s="2"/>
      <c r="B545" s="1"/>
      <c r="C545" s="1"/>
      <c r="D545" s="1"/>
    </row>
    <row r="546" spans="1:4" x14ac:dyDescent="0.2">
      <c r="A546" s="2"/>
      <c r="B546" s="1"/>
      <c r="C546" s="1"/>
      <c r="D546" s="1"/>
    </row>
    <row r="547" spans="1:4" x14ac:dyDescent="0.2">
      <c r="A547" s="2"/>
      <c r="B547" s="1"/>
      <c r="C547" s="1"/>
      <c r="D547" s="1"/>
    </row>
    <row r="548" spans="1:4" x14ac:dyDescent="0.2">
      <c r="A548" s="2"/>
      <c r="B548" s="1"/>
      <c r="C548" s="1"/>
      <c r="D548" s="1"/>
    </row>
    <row r="549" spans="1:4" x14ac:dyDescent="0.2">
      <c r="A549" s="2"/>
      <c r="B549" s="1"/>
      <c r="C549" s="1"/>
      <c r="D549" s="1"/>
    </row>
    <row r="550" spans="1:4" x14ac:dyDescent="0.2">
      <c r="A550" s="2"/>
      <c r="B550" s="1"/>
      <c r="C550" s="1"/>
      <c r="D550" s="1"/>
    </row>
    <row r="551" spans="1:4" x14ac:dyDescent="0.2">
      <c r="A551" s="2"/>
      <c r="B551" s="1"/>
      <c r="C551" s="1"/>
      <c r="D551" s="1"/>
    </row>
    <row r="552" spans="1:4" x14ac:dyDescent="0.2">
      <c r="A552" s="2"/>
      <c r="B552" s="1"/>
      <c r="C552" s="1"/>
      <c r="D552" s="1"/>
    </row>
    <row r="553" spans="1:4" x14ac:dyDescent="0.2">
      <c r="A553" s="2"/>
      <c r="B553" s="1"/>
      <c r="C553" s="1"/>
      <c r="D553" s="1"/>
    </row>
    <row r="554" spans="1:4" x14ac:dyDescent="0.2">
      <c r="A554" s="2"/>
      <c r="B554" s="1"/>
      <c r="C554" s="1"/>
      <c r="D554" s="1"/>
    </row>
    <row r="555" spans="1:4" x14ac:dyDescent="0.2">
      <c r="A555" s="2"/>
      <c r="B555" s="1"/>
      <c r="C555" s="1"/>
      <c r="D555" s="1"/>
    </row>
    <row r="556" spans="1:4" x14ac:dyDescent="0.2">
      <c r="A556" s="2"/>
      <c r="B556" s="1"/>
      <c r="C556" s="1"/>
      <c r="D556" s="1"/>
    </row>
    <row r="557" spans="1:4" x14ac:dyDescent="0.2">
      <c r="A557" s="2"/>
      <c r="B557" s="1"/>
      <c r="C557" s="1"/>
      <c r="D557" s="1"/>
    </row>
    <row r="558" spans="1:4" x14ac:dyDescent="0.2">
      <c r="A558" s="2"/>
      <c r="B558" s="1"/>
      <c r="C558" s="1"/>
      <c r="D558" s="1"/>
    </row>
    <row r="559" spans="1:4" x14ac:dyDescent="0.2">
      <c r="A559" s="2"/>
      <c r="B559" s="1"/>
      <c r="C559" s="1"/>
      <c r="D559" s="1"/>
    </row>
    <row r="560" spans="1:4" x14ac:dyDescent="0.2">
      <c r="A560" s="2"/>
      <c r="B560" s="1"/>
      <c r="C560" s="1"/>
      <c r="D560" s="1"/>
    </row>
    <row r="561" spans="1:4" x14ac:dyDescent="0.2">
      <c r="A561" s="2"/>
      <c r="B561" s="1"/>
      <c r="C561" s="1"/>
      <c r="D561" s="1"/>
    </row>
    <row r="562" spans="1:4" x14ac:dyDescent="0.2">
      <c r="A562" s="2"/>
      <c r="B562" s="1"/>
      <c r="C562" s="1"/>
      <c r="D562" s="1"/>
    </row>
    <row r="563" spans="1:4" x14ac:dyDescent="0.2">
      <c r="A563" s="2"/>
      <c r="B563" s="1"/>
      <c r="C563" s="1"/>
      <c r="D563" s="1"/>
    </row>
    <row r="564" spans="1:4" x14ac:dyDescent="0.2">
      <c r="A564" s="2"/>
      <c r="B564" s="1"/>
      <c r="C564" s="1"/>
      <c r="D564" s="1"/>
    </row>
    <row r="565" spans="1:4" x14ac:dyDescent="0.2">
      <c r="A565" s="2"/>
      <c r="B565" s="1"/>
      <c r="C565" s="1"/>
      <c r="D565" s="1"/>
    </row>
    <row r="566" spans="1:4" x14ac:dyDescent="0.2">
      <c r="A566" s="2"/>
      <c r="B566" s="1"/>
      <c r="C566" s="1"/>
      <c r="D566" s="1"/>
    </row>
    <row r="567" spans="1:4" x14ac:dyDescent="0.2">
      <c r="A567" s="2"/>
      <c r="B567" s="1"/>
      <c r="C567" s="1"/>
      <c r="D567" s="1"/>
    </row>
    <row r="568" spans="1:4" x14ac:dyDescent="0.2">
      <c r="A568" s="2"/>
      <c r="B568" s="1"/>
      <c r="C568" s="1"/>
      <c r="D568" s="1"/>
    </row>
    <row r="569" spans="1:4" x14ac:dyDescent="0.2">
      <c r="A569" s="2"/>
      <c r="B569" s="1"/>
      <c r="C569" s="1"/>
      <c r="D569" s="1"/>
    </row>
    <row r="570" spans="1:4" x14ac:dyDescent="0.2">
      <c r="A570" s="2"/>
      <c r="B570" s="1"/>
      <c r="C570" s="1"/>
      <c r="D570" s="1"/>
    </row>
    <row r="571" spans="1:4" x14ac:dyDescent="0.2">
      <c r="A571" s="2"/>
      <c r="B571" s="1"/>
      <c r="C571" s="1"/>
      <c r="D571" s="1"/>
    </row>
    <row r="572" spans="1:4" x14ac:dyDescent="0.2">
      <c r="A572" s="2"/>
      <c r="B572" s="1"/>
      <c r="C572" s="1"/>
      <c r="D572" s="1"/>
    </row>
    <row r="573" spans="1:4" x14ac:dyDescent="0.2">
      <c r="A573" s="2"/>
      <c r="B573" s="1"/>
      <c r="C573" s="1"/>
      <c r="D573" s="1"/>
    </row>
    <row r="574" spans="1:4" x14ac:dyDescent="0.2">
      <c r="A574" s="2"/>
      <c r="B574" s="1"/>
      <c r="C574" s="1"/>
      <c r="D574" s="1"/>
    </row>
    <row r="575" spans="1:4" x14ac:dyDescent="0.2">
      <c r="A575" s="2"/>
      <c r="B575" s="1"/>
      <c r="C575" s="1"/>
      <c r="D575" s="1"/>
    </row>
    <row r="576" spans="1:4" x14ac:dyDescent="0.2">
      <c r="A576" s="2"/>
      <c r="B576" s="1"/>
      <c r="C576" s="1"/>
      <c r="D576" s="1"/>
    </row>
    <row r="577" spans="1:4" x14ac:dyDescent="0.2">
      <c r="A577" s="2"/>
      <c r="B577" s="1"/>
      <c r="C577" s="1"/>
      <c r="D577" s="1"/>
    </row>
    <row r="578" spans="1:4" x14ac:dyDescent="0.2">
      <c r="A578" s="2"/>
      <c r="B578" s="1"/>
      <c r="C578" s="1"/>
      <c r="D578" s="1"/>
    </row>
    <row r="579" spans="1:4" x14ac:dyDescent="0.2">
      <c r="A579" s="2"/>
      <c r="B579" s="1"/>
      <c r="C579" s="1"/>
      <c r="D579" s="1"/>
    </row>
    <row r="580" spans="1:4" x14ac:dyDescent="0.2">
      <c r="A580" s="2"/>
      <c r="B580" s="1"/>
      <c r="C580" s="1"/>
      <c r="D580" s="1"/>
    </row>
    <row r="581" spans="1:4" x14ac:dyDescent="0.2">
      <c r="A581" s="2"/>
      <c r="B581" s="1"/>
      <c r="C581" s="1"/>
      <c r="D581" s="1"/>
    </row>
    <row r="582" spans="1:4" x14ac:dyDescent="0.2">
      <c r="A582" s="2"/>
      <c r="B582" s="1"/>
      <c r="C582" s="1"/>
      <c r="D582" s="1"/>
    </row>
    <row r="583" spans="1:4" x14ac:dyDescent="0.2">
      <c r="A583" s="2"/>
      <c r="B583" s="1"/>
      <c r="C583" s="1"/>
      <c r="D583" s="1"/>
    </row>
    <row r="584" spans="1:4" x14ac:dyDescent="0.2">
      <c r="A584" s="2"/>
      <c r="B584" s="1"/>
      <c r="C584" s="1"/>
      <c r="D584" s="1"/>
    </row>
    <row r="585" spans="1:4" x14ac:dyDescent="0.2">
      <c r="A585" s="2"/>
      <c r="B585" s="1"/>
      <c r="C585" s="1"/>
      <c r="D585" s="1"/>
    </row>
    <row r="586" spans="1:4" x14ac:dyDescent="0.2">
      <c r="A586" s="2"/>
      <c r="B586" s="1"/>
      <c r="C586" s="1"/>
      <c r="D586" s="1"/>
    </row>
    <row r="587" spans="1:4" x14ac:dyDescent="0.2">
      <c r="A587" s="2"/>
      <c r="B587" s="1"/>
      <c r="C587" s="1"/>
      <c r="D587" s="1"/>
    </row>
    <row r="588" spans="1:4" x14ac:dyDescent="0.2">
      <c r="A588" s="2"/>
      <c r="B588" s="1"/>
      <c r="C588" s="1"/>
      <c r="D588" s="1"/>
    </row>
    <row r="589" spans="1:4" x14ac:dyDescent="0.2">
      <c r="A589" s="2"/>
      <c r="B589" s="1"/>
      <c r="C589" s="1"/>
      <c r="D589" s="1"/>
    </row>
    <row r="590" spans="1:4" x14ac:dyDescent="0.2">
      <c r="A590" s="2"/>
      <c r="B590" s="1"/>
      <c r="C590" s="1"/>
      <c r="D590" s="1"/>
    </row>
    <row r="591" spans="1:4" x14ac:dyDescent="0.2">
      <c r="A591" s="2"/>
      <c r="B591" s="1"/>
      <c r="C591" s="1"/>
      <c r="D591" s="1"/>
    </row>
    <row r="592" spans="1:4" x14ac:dyDescent="0.2">
      <c r="A592" s="2"/>
      <c r="B592" s="1"/>
      <c r="C592" s="1"/>
      <c r="D592" s="1"/>
    </row>
    <row r="593" spans="1:4" x14ac:dyDescent="0.2">
      <c r="A593" s="2"/>
      <c r="B593" s="1"/>
      <c r="C593" s="1"/>
      <c r="D593" s="1"/>
    </row>
    <row r="594" spans="1:4" x14ac:dyDescent="0.2">
      <c r="A594" s="2"/>
      <c r="B594" s="1"/>
      <c r="C594" s="1"/>
      <c r="D594" s="1"/>
    </row>
    <row r="595" spans="1:4" x14ac:dyDescent="0.2">
      <c r="A595" s="2"/>
      <c r="B595" s="1"/>
      <c r="C595" s="1"/>
      <c r="D595" s="1"/>
    </row>
    <row r="596" spans="1:4" x14ac:dyDescent="0.2">
      <c r="A596" s="2"/>
      <c r="B596" s="1"/>
      <c r="C596" s="1"/>
      <c r="D596" s="1"/>
    </row>
    <row r="597" spans="1:4" x14ac:dyDescent="0.2">
      <c r="A597" s="2"/>
      <c r="B597" s="1"/>
      <c r="C597" s="1"/>
      <c r="D597" s="1"/>
    </row>
    <row r="598" spans="1:4" x14ac:dyDescent="0.2">
      <c r="A598" s="2"/>
      <c r="B598" s="1"/>
      <c r="C598" s="1"/>
      <c r="D598" s="1"/>
    </row>
    <row r="599" spans="1:4" x14ac:dyDescent="0.2">
      <c r="A599" s="2"/>
      <c r="B599" s="1"/>
      <c r="C599" s="1"/>
      <c r="D599" s="1"/>
    </row>
    <row r="600" spans="1:4" x14ac:dyDescent="0.2">
      <c r="A600" s="2"/>
      <c r="B600" s="1"/>
      <c r="C600" s="1"/>
      <c r="D600" s="1"/>
    </row>
    <row r="601" spans="1:4" x14ac:dyDescent="0.2">
      <c r="A601" s="2"/>
      <c r="B601" s="1"/>
      <c r="C601" s="1"/>
      <c r="D601" s="1"/>
    </row>
    <row r="602" spans="1:4" x14ac:dyDescent="0.2">
      <c r="A602" s="2"/>
      <c r="B602" s="1"/>
      <c r="C602" s="1"/>
      <c r="D602" s="1"/>
    </row>
    <row r="603" spans="1:4" x14ac:dyDescent="0.2">
      <c r="A603" s="2"/>
      <c r="B603" s="1"/>
      <c r="C603" s="1"/>
      <c r="D603" s="1"/>
    </row>
    <row r="604" spans="1:4" x14ac:dyDescent="0.2">
      <c r="A604" s="2"/>
      <c r="B604" s="1"/>
      <c r="C604" s="1"/>
      <c r="D604" s="1"/>
    </row>
    <row r="605" spans="1:4" x14ac:dyDescent="0.2">
      <c r="A605" s="2"/>
      <c r="B605" s="1"/>
      <c r="C605" s="1"/>
      <c r="D605" s="1"/>
    </row>
    <row r="606" spans="1:4" x14ac:dyDescent="0.2">
      <c r="A606" s="2"/>
      <c r="B606" s="1"/>
      <c r="C606" s="1"/>
      <c r="D606" s="1"/>
    </row>
    <row r="607" spans="1:4" x14ac:dyDescent="0.2">
      <c r="A607" s="2"/>
      <c r="B607" s="1"/>
      <c r="C607" s="1"/>
      <c r="D607" s="1"/>
    </row>
    <row r="608" spans="1:4" x14ac:dyDescent="0.2">
      <c r="A608" s="2"/>
      <c r="B608" s="1"/>
      <c r="C608" s="1"/>
      <c r="D608" s="1"/>
    </row>
    <row r="609" spans="1:4" x14ac:dyDescent="0.2">
      <c r="A609" s="2"/>
      <c r="B609" s="1"/>
      <c r="C609" s="1"/>
      <c r="D609" s="1"/>
    </row>
    <row r="610" spans="1:4" x14ac:dyDescent="0.2">
      <c r="A610" s="2"/>
      <c r="B610" s="1"/>
      <c r="C610" s="1"/>
      <c r="D610" s="1"/>
    </row>
    <row r="611" spans="1:4" x14ac:dyDescent="0.2">
      <c r="A611" s="2"/>
      <c r="B611" s="1"/>
      <c r="C611" s="1"/>
      <c r="D611" s="1"/>
    </row>
    <row r="612" spans="1:4" x14ac:dyDescent="0.2">
      <c r="A612" s="2"/>
      <c r="B612" s="1"/>
      <c r="C612" s="1"/>
      <c r="D612" s="1"/>
    </row>
    <row r="613" spans="1:4" x14ac:dyDescent="0.2">
      <c r="A613" s="2"/>
      <c r="B613" s="1"/>
      <c r="C613" s="1"/>
      <c r="D613" s="1"/>
    </row>
    <row r="614" spans="1:4" x14ac:dyDescent="0.2">
      <c r="A614" s="2"/>
      <c r="B614" s="1"/>
      <c r="C614" s="1"/>
      <c r="D614" s="1"/>
    </row>
    <row r="615" spans="1:4" x14ac:dyDescent="0.2">
      <c r="A615" s="2"/>
      <c r="B615" s="1"/>
      <c r="C615" s="1"/>
      <c r="D615" s="1"/>
    </row>
    <row r="616" spans="1:4" x14ac:dyDescent="0.2">
      <c r="A616" s="2"/>
      <c r="B616" s="1"/>
      <c r="C616" s="1"/>
      <c r="D616" s="1"/>
    </row>
    <row r="617" spans="1:4" x14ac:dyDescent="0.2">
      <c r="A617" s="2"/>
      <c r="B617" s="1"/>
      <c r="C617" s="1"/>
      <c r="D617" s="1"/>
    </row>
    <row r="618" spans="1:4" x14ac:dyDescent="0.2">
      <c r="A618" s="2"/>
      <c r="B618" s="1"/>
      <c r="C618" s="1"/>
      <c r="D618" s="1"/>
    </row>
    <row r="619" spans="1:4" x14ac:dyDescent="0.2">
      <c r="A619" s="2"/>
      <c r="B619" s="1"/>
      <c r="C619" s="1"/>
      <c r="D619" s="1"/>
    </row>
    <row r="620" spans="1:4" x14ac:dyDescent="0.2">
      <c r="A620" s="2"/>
      <c r="B620" s="1"/>
      <c r="C620" s="1"/>
      <c r="D620" s="1"/>
    </row>
    <row r="621" spans="1:4" x14ac:dyDescent="0.2">
      <c r="A621" s="2"/>
      <c r="B621" s="1"/>
      <c r="C621" s="1"/>
      <c r="D621" s="1"/>
    </row>
    <row r="622" spans="1:4" x14ac:dyDescent="0.2">
      <c r="A622" s="2"/>
      <c r="B622" s="1"/>
      <c r="C622" s="1"/>
      <c r="D622" s="1"/>
    </row>
    <row r="623" spans="1:4" x14ac:dyDescent="0.2">
      <c r="A623" s="2"/>
      <c r="B623" s="1"/>
      <c r="C623" s="1"/>
      <c r="D623" s="1"/>
    </row>
    <row r="624" spans="1:4" x14ac:dyDescent="0.2">
      <c r="A624" s="2"/>
      <c r="B624" s="1"/>
      <c r="C624" s="1"/>
      <c r="D624" s="1"/>
    </row>
    <row r="625" spans="1:4" x14ac:dyDescent="0.2">
      <c r="A625" s="2"/>
      <c r="B625" s="1"/>
      <c r="C625" s="1"/>
      <c r="D625" s="1"/>
    </row>
    <row r="626" spans="1:4" x14ac:dyDescent="0.2">
      <c r="A626" s="2"/>
      <c r="B626" s="1"/>
      <c r="C626" s="1"/>
      <c r="D626" s="1"/>
    </row>
    <row r="627" spans="1:4" x14ac:dyDescent="0.2">
      <c r="A627" s="2"/>
      <c r="B627" s="1"/>
      <c r="C627" s="1"/>
      <c r="D627" s="1"/>
    </row>
    <row r="628" spans="1:4" x14ac:dyDescent="0.2">
      <c r="A628" s="2"/>
      <c r="B628" s="1"/>
      <c r="C628" s="1"/>
      <c r="D628" s="1"/>
    </row>
    <row r="629" spans="1:4" x14ac:dyDescent="0.2">
      <c r="A629" s="2"/>
      <c r="B629" s="1"/>
      <c r="C629" s="1"/>
      <c r="D629" s="1"/>
    </row>
    <row r="630" spans="1:4" x14ac:dyDescent="0.2">
      <c r="A630" s="2"/>
      <c r="B630" s="1"/>
      <c r="C630" s="1"/>
      <c r="D630" s="1"/>
    </row>
    <row r="631" spans="1:4" x14ac:dyDescent="0.2">
      <c r="A631" s="2"/>
      <c r="B631" s="1"/>
      <c r="C631" s="1"/>
      <c r="D631" s="1"/>
    </row>
    <row r="632" spans="1:4" x14ac:dyDescent="0.2">
      <c r="A632" s="2"/>
      <c r="B632" s="1"/>
      <c r="C632" s="1"/>
      <c r="D632" s="1"/>
    </row>
    <row r="633" spans="1:4" x14ac:dyDescent="0.2">
      <c r="A633" s="2"/>
      <c r="B633" s="1"/>
      <c r="C633" s="1"/>
      <c r="D633" s="1"/>
    </row>
    <row r="634" spans="1:4" x14ac:dyDescent="0.2">
      <c r="A634" s="2"/>
      <c r="B634" s="1"/>
      <c r="C634" s="1"/>
      <c r="D634" s="1"/>
    </row>
    <row r="635" spans="1:4" x14ac:dyDescent="0.2">
      <c r="A635" s="2"/>
      <c r="B635" s="1"/>
      <c r="C635" s="1"/>
      <c r="D635" s="1"/>
    </row>
    <row r="636" spans="1:4" x14ac:dyDescent="0.2">
      <c r="A636" s="2"/>
      <c r="B636" s="1"/>
      <c r="C636" s="1"/>
      <c r="D636" s="1"/>
    </row>
    <row r="637" spans="1:4" x14ac:dyDescent="0.2">
      <c r="A637" s="2"/>
      <c r="B637" s="1"/>
      <c r="C637" s="1"/>
      <c r="D637" s="1"/>
    </row>
    <row r="638" spans="1:4" x14ac:dyDescent="0.2">
      <c r="A638" s="2"/>
      <c r="B638" s="1"/>
      <c r="C638" s="1"/>
      <c r="D638" s="1"/>
    </row>
    <row r="639" spans="1:4" x14ac:dyDescent="0.2">
      <c r="A639" s="2"/>
      <c r="B639" s="1"/>
      <c r="C639" s="1"/>
      <c r="D639" s="1"/>
    </row>
    <row r="640" spans="1:4" x14ac:dyDescent="0.2">
      <c r="A640" s="2"/>
      <c r="B640" s="1"/>
      <c r="C640" s="1"/>
      <c r="D640" s="1"/>
    </row>
    <row r="641" spans="1:4" x14ac:dyDescent="0.2">
      <c r="A641" s="2"/>
      <c r="B641" s="1"/>
      <c r="C641" s="1"/>
      <c r="D641" s="1"/>
    </row>
    <row r="642" spans="1:4" x14ac:dyDescent="0.2">
      <c r="A642" s="2"/>
      <c r="B642" s="1"/>
      <c r="C642" s="1"/>
      <c r="D642" s="1"/>
    </row>
    <row r="643" spans="1:4" x14ac:dyDescent="0.2">
      <c r="A643" s="2"/>
      <c r="B643" s="1"/>
      <c r="C643" s="1"/>
      <c r="D643" s="1"/>
    </row>
    <row r="644" spans="1:4" x14ac:dyDescent="0.2">
      <c r="A644" s="2"/>
      <c r="B644" s="1"/>
      <c r="C644" s="1"/>
      <c r="D644" s="1"/>
    </row>
    <row r="645" spans="1:4" x14ac:dyDescent="0.2">
      <c r="A645" s="2"/>
      <c r="B645" s="1"/>
      <c r="C645" s="1"/>
      <c r="D645" s="1"/>
    </row>
    <row r="646" spans="1:4" x14ac:dyDescent="0.2">
      <c r="A646" s="2"/>
      <c r="B646" s="1"/>
      <c r="C646" s="1"/>
      <c r="D646" s="1"/>
    </row>
    <row r="647" spans="1:4" x14ac:dyDescent="0.2">
      <c r="A647" s="2"/>
      <c r="B647" s="1"/>
      <c r="C647" s="1"/>
      <c r="D647" s="1"/>
    </row>
    <row r="648" spans="1:4" x14ac:dyDescent="0.2">
      <c r="A648" s="2"/>
      <c r="B648" s="1"/>
      <c r="C648" s="1"/>
      <c r="D648" s="1"/>
    </row>
    <row r="649" spans="1:4" x14ac:dyDescent="0.2">
      <c r="A649" s="2"/>
      <c r="B649" s="1"/>
      <c r="C649" s="1"/>
      <c r="D649" s="1"/>
    </row>
    <row r="650" spans="1:4" x14ac:dyDescent="0.2">
      <c r="A650" s="2"/>
      <c r="B650" s="1"/>
      <c r="C650" s="1"/>
      <c r="D650" s="1"/>
    </row>
    <row r="651" spans="1:4" x14ac:dyDescent="0.2">
      <c r="A651" s="2"/>
      <c r="B651" s="1"/>
      <c r="C651" s="1"/>
      <c r="D651" s="1"/>
    </row>
    <row r="652" spans="1:4" x14ac:dyDescent="0.2">
      <c r="A652" s="2"/>
      <c r="B652" s="1"/>
      <c r="C652" s="1"/>
      <c r="D652" s="1"/>
    </row>
    <row r="653" spans="1:4" x14ac:dyDescent="0.2">
      <c r="A653" s="2"/>
      <c r="B653" s="1"/>
      <c r="C653" s="1"/>
      <c r="D653" s="1"/>
    </row>
    <row r="654" spans="1:4" x14ac:dyDescent="0.2">
      <c r="A654" s="2"/>
      <c r="B654" s="1"/>
      <c r="C654" s="1"/>
      <c r="D654" s="1"/>
    </row>
    <row r="655" spans="1:4" x14ac:dyDescent="0.2">
      <c r="A655" s="2"/>
      <c r="B655" s="1"/>
      <c r="C655" s="1"/>
      <c r="D655" s="1"/>
    </row>
    <row r="656" spans="1:4" x14ac:dyDescent="0.2">
      <c r="A656" s="2"/>
      <c r="B656" s="1"/>
      <c r="C656" s="1"/>
      <c r="D656" s="1"/>
    </row>
    <row r="657" spans="1:4" x14ac:dyDescent="0.2">
      <c r="A657" s="2"/>
      <c r="B657" s="1"/>
      <c r="C657" s="1"/>
      <c r="D657" s="1"/>
    </row>
    <row r="658" spans="1:4" x14ac:dyDescent="0.2">
      <c r="A658" s="2"/>
      <c r="B658" s="1"/>
      <c r="C658" s="1"/>
      <c r="D658" s="1"/>
    </row>
    <row r="659" spans="1:4" x14ac:dyDescent="0.2">
      <c r="A659" s="2"/>
      <c r="B659" s="1"/>
      <c r="C659" s="1"/>
      <c r="D659" s="1"/>
    </row>
    <row r="660" spans="1:4" x14ac:dyDescent="0.2">
      <c r="A660" s="2"/>
      <c r="B660" s="1"/>
      <c r="C660" s="1"/>
      <c r="D660" s="1"/>
    </row>
    <row r="661" spans="1:4" x14ac:dyDescent="0.2">
      <c r="A661" s="2"/>
      <c r="B661" s="1"/>
      <c r="C661" s="1"/>
      <c r="D661" s="1"/>
    </row>
    <row r="662" spans="1:4" x14ac:dyDescent="0.2">
      <c r="A662" s="2"/>
      <c r="B662" s="1"/>
      <c r="C662" s="1"/>
      <c r="D662" s="1"/>
    </row>
    <row r="663" spans="1:4" x14ac:dyDescent="0.2">
      <c r="A663" s="2"/>
      <c r="B663" s="1"/>
      <c r="C663" s="1"/>
      <c r="D663" s="1"/>
    </row>
    <row r="664" spans="1:4" x14ac:dyDescent="0.2">
      <c r="A664" s="2"/>
      <c r="B664" s="1"/>
      <c r="C664" s="1"/>
      <c r="D664" s="1"/>
    </row>
    <row r="665" spans="1:4" x14ac:dyDescent="0.2">
      <c r="A665" s="2"/>
      <c r="B665" s="1"/>
      <c r="C665" s="1"/>
      <c r="D665" s="1"/>
    </row>
    <row r="666" spans="1:4" x14ac:dyDescent="0.2">
      <c r="A666" s="2"/>
      <c r="B666" s="1"/>
      <c r="C666" s="1"/>
      <c r="D666" s="1"/>
    </row>
    <row r="667" spans="1:4" x14ac:dyDescent="0.2">
      <c r="A667" s="2"/>
      <c r="B667" s="1"/>
      <c r="C667" s="1"/>
      <c r="D667" s="1"/>
    </row>
    <row r="668" spans="1:4" x14ac:dyDescent="0.2">
      <c r="A668" s="2"/>
      <c r="B668" s="1"/>
      <c r="C668" s="1"/>
      <c r="D668" s="1"/>
    </row>
    <row r="669" spans="1:4" x14ac:dyDescent="0.2">
      <c r="A669" s="2"/>
      <c r="B669" s="1"/>
      <c r="C669" s="1"/>
      <c r="D669" s="1"/>
    </row>
    <row r="670" spans="1:4" x14ac:dyDescent="0.2">
      <c r="A670" s="2"/>
      <c r="B670" s="1"/>
      <c r="C670" s="1"/>
      <c r="D670" s="1"/>
    </row>
    <row r="671" spans="1:4" x14ac:dyDescent="0.2">
      <c r="A671" s="2"/>
      <c r="B671" s="1"/>
      <c r="C671" s="1"/>
      <c r="D671" s="1"/>
    </row>
    <row r="672" spans="1:4" x14ac:dyDescent="0.2">
      <c r="A672" s="2"/>
      <c r="B672" s="1"/>
      <c r="C672" s="1"/>
      <c r="D672" s="1"/>
    </row>
    <row r="673" spans="1:4" x14ac:dyDescent="0.2">
      <c r="A673" s="2"/>
      <c r="B673" s="1"/>
      <c r="C673" s="1"/>
      <c r="D673" s="1"/>
    </row>
    <row r="674" spans="1:4" x14ac:dyDescent="0.2">
      <c r="A674" s="2"/>
      <c r="B674" s="1"/>
      <c r="C674" s="1"/>
      <c r="D674" s="1"/>
    </row>
    <row r="675" spans="1:4" x14ac:dyDescent="0.2">
      <c r="A675" s="2"/>
      <c r="B675" s="1"/>
      <c r="C675" s="1"/>
      <c r="D675" s="1"/>
    </row>
    <row r="676" spans="1:4" x14ac:dyDescent="0.2">
      <c r="A676" s="2"/>
      <c r="B676" s="1"/>
      <c r="C676" s="1"/>
      <c r="D676" s="1"/>
    </row>
    <row r="677" spans="1:4" x14ac:dyDescent="0.2">
      <c r="A677" s="2"/>
      <c r="B677" s="1"/>
      <c r="C677" s="1"/>
      <c r="D677" s="1"/>
    </row>
    <row r="678" spans="1:4" x14ac:dyDescent="0.2">
      <c r="A678" s="2"/>
      <c r="B678" s="1"/>
      <c r="C678" s="1"/>
      <c r="D678" s="1"/>
    </row>
    <row r="679" spans="1:4" x14ac:dyDescent="0.2">
      <c r="A679" s="2"/>
      <c r="B679" s="1"/>
      <c r="C679" s="1"/>
      <c r="D679" s="1"/>
    </row>
    <row r="680" spans="1:4" x14ac:dyDescent="0.2">
      <c r="A680" s="2"/>
      <c r="B680" s="1"/>
      <c r="C680" s="1"/>
      <c r="D680" s="1"/>
    </row>
    <row r="681" spans="1:4" x14ac:dyDescent="0.2">
      <c r="A681" s="2"/>
      <c r="B681" s="1"/>
      <c r="C681" s="1"/>
      <c r="D681" s="1"/>
    </row>
    <row r="682" spans="1:4" x14ac:dyDescent="0.2">
      <c r="A682" s="2"/>
      <c r="B682" s="1"/>
      <c r="C682" s="1"/>
      <c r="D682" s="1"/>
    </row>
    <row r="683" spans="1:4" x14ac:dyDescent="0.2">
      <c r="A683" s="2"/>
      <c r="B683" s="1"/>
      <c r="C683" s="1"/>
      <c r="D683" s="1"/>
    </row>
    <row r="684" spans="1:4" x14ac:dyDescent="0.2">
      <c r="A684" s="2"/>
      <c r="B684" s="1"/>
      <c r="C684" s="1"/>
      <c r="D684" s="1"/>
    </row>
    <row r="685" spans="1:4" x14ac:dyDescent="0.2">
      <c r="A685" s="2"/>
      <c r="B685" s="1"/>
      <c r="C685" s="1"/>
      <c r="D685" s="1"/>
    </row>
    <row r="686" spans="1:4" x14ac:dyDescent="0.2">
      <c r="A686" s="2"/>
      <c r="B686" s="1"/>
      <c r="C686" s="1"/>
      <c r="D686" s="1"/>
    </row>
    <row r="687" spans="1:4" x14ac:dyDescent="0.2">
      <c r="A687" s="2"/>
      <c r="B687" s="1"/>
      <c r="C687" s="1"/>
      <c r="D687" s="1"/>
    </row>
    <row r="688" spans="1:4" x14ac:dyDescent="0.2">
      <c r="A688" s="2"/>
      <c r="B688" s="1"/>
      <c r="C688" s="1"/>
      <c r="D688" s="1"/>
    </row>
    <row r="689" spans="1:4" x14ac:dyDescent="0.2">
      <c r="A689" s="2"/>
      <c r="B689" s="1"/>
      <c r="C689" s="1"/>
      <c r="D689" s="1"/>
    </row>
    <row r="690" spans="1:4" x14ac:dyDescent="0.2">
      <c r="A690" s="2"/>
      <c r="B690" s="1"/>
      <c r="C690" s="1"/>
      <c r="D690" s="1"/>
    </row>
    <row r="691" spans="1:4" x14ac:dyDescent="0.2">
      <c r="A691" s="2"/>
      <c r="B691" s="1"/>
      <c r="C691" s="1"/>
      <c r="D691" s="1"/>
    </row>
    <row r="692" spans="1:4" x14ac:dyDescent="0.2">
      <c r="A692" s="2"/>
      <c r="B692" s="1"/>
      <c r="C692" s="1"/>
      <c r="D692" s="1"/>
    </row>
    <row r="693" spans="1:4" x14ac:dyDescent="0.2">
      <c r="A693" s="2"/>
      <c r="B693" s="1"/>
      <c r="C693" s="1"/>
      <c r="D693" s="1"/>
    </row>
    <row r="694" spans="1:4" x14ac:dyDescent="0.2">
      <c r="A694" s="2"/>
      <c r="B694" s="1"/>
      <c r="C694" s="1"/>
      <c r="D694" s="1"/>
    </row>
    <row r="695" spans="1:4" x14ac:dyDescent="0.2">
      <c r="A695" s="2"/>
      <c r="B695" s="1"/>
      <c r="C695" s="1"/>
      <c r="D695" s="1"/>
    </row>
    <row r="696" spans="1:4" x14ac:dyDescent="0.2">
      <c r="A696" s="2"/>
      <c r="B696" s="1"/>
      <c r="C696" s="1"/>
      <c r="D696" s="1"/>
    </row>
    <row r="697" spans="1:4" x14ac:dyDescent="0.2">
      <c r="A697" s="2"/>
      <c r="B697" s="1"/>
      <c r="C697" s="1"/>
      <c r="D697" s="1"/>
    </row>
    <row r="698" spans="1:4" x14ac:dyDescent="0.2">
      <c r="A698" s="2"/>
      <c r="B698" s="1"/>
      <c r="C698" s="1"/>
      <c r="D698" s="1"/>
    </row>
    <row r="699" spans="1:4" x14ac:dyDescent="0.2">
      <c r="A699" s="2"/>
      <c r="B699" s="1"/>
      <c r="C699" s="1"/>
      <c r="D699" s="1"/>
    </row>
    <row r="700" spans="1:4" x14ac:dyDescent="0.2">
      <c r="A700" s="2"/>
      <c r="B700" s="1"/>
      <c r="C700" s="1"/>
      <c r="D700" s="1"/>
    </row>
    <row r="701" spans="1:4" x14ac:dyDescent="0.2">
      <c r="A701" s="2"/>
      <c r="B701" s="1"/>
      <c r="C701" s="1"/>
      <c r="D701" s="1"/>
    </row>
    <row r="702" spans="1:4" x14ac:dyDescent="0.2">
      <c r="A702" s="2"/>
      <c r="B702" s="1"/>
      <c r="C702" s="1"/>
      <c r="D702" s="1"/>
    </row>
    <row r="703" spans="1:4" x14ac:dyDescent="0.2">
      <c r="A703" s="2"/>
      <c r="B703" s="1"/>
      <c r="C703" s="1"/>
      <c r="D703" s="1"/>
    </row>
    <row r="704" spans="1:4" x14ac:dyDescent="0.2">
      <c r="A704" s="2"/>
      <c r="B704" s="1"/>
      <c r="C704" s="1"/>
      <c r="D704" s="1"/>
    </row>
    <row r="705" spans="1:4" x14ac:dyDescent="0.2">
      <c r="A705" s="2"/>
      <c r="B705" s="1"/>
      <c r="C705" s="1"/>
      <c r="D705" s="1"/>
    </row>
    <row r="706" spans="1:4" x14ac:dyDescent="0.2">
      <c r="A706" s="2"/>
      <c r="B706" s="1"/>
      <c r="C706" s="1"/>
      <c r="D706" s="1"/>
    </row>
    <row r="707" spans="1:4" x14ac:dyDescent="0.2">
      <c r="A707" s="2"/>
      <c r="B707" s="1"/>
      <c r="C707" s="1"/>
      <c r="D707" s="1"/>
    </row>
    <row r="708" spans="1:4" x14ac:dyDescent="0.2">
      <c r="A708" s="2"/>
      <c r="B708" s="1"/>
      <c r="C708" s="1"/>
      <c r="D708" s="1"/>
    </row>
    <row r="709" spans="1:4" x14ac:dyDescent="0.2">
      <c r="A709" s="2"/>
      <c r="B709" s="1"/>
      <c r="C709" s="1"/>
      <c r="D709" s="1"/>
    </row>
    <row r="710" spans="1:4" x14ac:dyDescent="0.2">
      <c r="A710" s="2"/>
      <c r="B710" s="1"/>
      <c r="C710" s="1"/>
      <c r="D710" s="1"/>
    </row>
    <row r="711" spans="1:4" x14ac:dyDescent="0.2">
      <c r="A711" s="2"/>
      <c r="B711" s="1"/>
      <c r="C711" s="1"/>
      <c r="D711" s="1"/>
    </row>
    <row r="712" spans="1:4" x14ac:dyDescent="0.2">
      <c r="A712" s="2"/>
      <c r="B712" s="1"/>
      <c r="C712" s="1"/>
      <c r="D712" s="1"/>
    </row>
    <row r="713" spans="1:4" x14ac:dyDescent="0.2">
      <c r="A713" s="2"/>
      <c r="B713" s="1"/>
      <c r="C713" s="1"/>
      <c r="D713" s="1"/>
    </row>
    <row r="714" spans="1:4" x14ac:dyDescent="0.2">
      <c r="A714" s="2"/>
      <c r="B714" s="1"/>
      <c r="C714" s="1"/>
      <c r="D714" s="1"/>
    </row>
    <row r="715" spans="1:4" x14ac:dyDescent="0.2">
      <c r="A715" s="2"/>
      <c r="B715" s="1"/>
      <c r="C715" s="1"/>
      <c r="D715" s="1"/>
    </row>
    <row r="716" spans="1:4" x14ac:dyDescent="0.2">
      <c r="A716" s="2"/>
      <c r="B716" s="1"/>
      <c r="C716" s="1"/>
      <c r="D716" s="1"/>
    </row>
    <row r="717" spans="1:4" x14ac:dyDescent="0.2">
      <c r="A717" s="2"/>
      <c r="B717" s="1"/>
      <c r="C717" s="1"/>
      <c r="D717" s="1"/>
    </row>
    <row r="718" spans="1:4" x14ac:dyDescent="0.2">
      <c r="A718" s="2"/>
      <c r="B718" s="1"/>
      <c r="C718" s="1"/>
      <c r="D718" s="1"/>
    </row>
    <row r="719" spans="1:4" x14ac:dyDescent="0.2">
      <c r="A719" s="2"/>
      <c r="B719" s="1"/>
      <c r="C719" s="1"/>
      <c r="D719" s="1"/>
    </row>
    <row r="720" spans="1:4" x14ac:dyDescent="0.2">
      <c r="A720" s="2"/>
      <c r="B720" s="1"/>
      <c r="C720" s="1"/>
      <c r="D720" s="1"/>
    </row>
    <row r="721" spans="1:4" x14ac:dyDescent="0.2">
      <c r="A721" s="2"/>
      <c r="B721" s="1"/>
      <c r="C721" s="1"/>
      <c r="D721" s="1"/>
    </row>
    <row r="722" spans="1:4" x14ac:dyDescent="0.2">
      <c r="A722" s="2"/>
      <c r="B722" s="1"/>
      <c r="C722" s="1"/>
      <c r="D722" s="1"/>
    </row>
    <row r="723" spans="1:4" x14ac:dyDescent="0.2">
      <c r="A723" s="2"/>
      <c r="B723" s="1"/>
      <c r="C723" s="1"/>
      <c r="D723" s="1"/>
    </row>
    <row r="724" spans="1:4" x14ac:dyDescent="0.2">
      <c r="A724" s="2"/>
      <c r="B724" s="1"/>
      <c r="C724" s="1"/>
      <c r="D724" s="1"/>
    </row>
    <row r="725" spans="1:4" x14ac:dyDescent="0.2">
      <c r="A725" s="2"/>
      <c r="B725" s="1"/>
      <c r="C725" s="1"/>
      <c r="D725" s="1"/>
    </row>
    <row r="726" spans="1:4" x14ac:dyDescent="0.2">
      <c r="A726" s="2"/>
      <c r="B726" s="1"/>
      <c r="C726" s="1"/>
      <c r="D726" s="1"/>
    </row>
    <row r="727" spans="1:4" x14ac:dyDescent="0.2">
      <c r="A727" s="2"/>
      <c r="B727" s="1"/>
      <c r="C727" s="1"/>
      <c r="D727" s="1"/>
    </row>
    <row r="728" spans="1:4" x14ac:dyDescent="0.2">
      <c r="A728" s="2"/>
      <c r="B728" s="1"/>
      <c r="C728" s="1"/>
      <c r="D728" s="1"/>
    </row>
    <row r="729" spans="1:4" x14ac:dyDescent="0.2">
      <c r="A729" s="2"/>
      <c r="B729" s="1"/>
      <c r="C729" s="1"/>
      <c r="D729" s="1"/>
    </row>
    <row r="730" spans="1:4" x14ac:dyDescent="0.2">
      <c r="A730" s="2"/>
      <c r="B730" s="1"/>
      <c r="C730" s="1"/>
      <c r="D730" s="1"/>
    </row>
    <row r="731" spans="1:4" x14ac:dyDescent="0.2">
      <c r="A731" s="2"/>
      <c r="B731" s="1"/>
      <c r="C731" s="1"/>
      <c r="D731" s="1"/>
    </row>
    <row r="732" spans="1:4" x14ac:dyDescent="0.2">
      <c r="A732" s="2"/>
      <c r="B732" s="1"/>
      <c r="C732" s="1"/>
      <c r="D732" s="1"/>
    </row>
    <row r="733" spans="1:4" x14ac:dyDescent="0.2">
      <c r="A733" s="2"/>
      <c r="B733" s="1"/>
      <c r="C733" s="1"/>
      <c r="D733" s="1"/>
    </row>
    <row r="734" spans="1:4" x14ac:dyDescent="0.2">
      <c r="A734" s="2"/>
      <c r="B734" s="1"/>
      <c r="C734" s="1"/>
      <c r="D734" s="1"/>
    </row>
    <row r="735" spans="1:4" x14ac:dyDescent="0.2">
      <c r="A735" s="2"/>
      <c r="B735" s="1"/>
      <c r="C735" s="1"/>
      <c r="D735" s="1"/>
    </row>
    <row r="736" spans="1:4" x14ac:dyDescent="0.2">
      <c r="A736" s="2"/>
      <c r="B736" s="1"/>
      <c r="C736" s="1"/>
      <c r="D736" s="1"/>
    </row>
    <row r="737" spans="1:4" x14ac:dyDescent="0.2">
      <c r="A737" s="2"/>
      <c r="B737" s="1"/>
      <c r="C737" s="1"/>
      <c r="D737" s="1"/>
    </row>
    <row r="738" spans="1:4" x14ac:dyDescent="0.2">
      <c r="A738" s="2"/>
      <c r="B738" s="1"/>
      <c r="C738" s="1"/>
      <c r="D738" s="1"/>
    </row>
    <row r="739" spans="1:4" x14ac:dyDescent="0.2">
      <c r="A739" s="2"/>
      <c r="B739" s="1"/>
      <c r="C739" s="1"/>
      <c r="D739" s="1"/>
    </row>
    <row r="740" spans="1:4" x14ac:dyDescent="0.2">
      <c r="A740" s="2"/>
      <c r="B740" s="1"/>
      <c r="C740" s="1"/>
      <c r="D740" s="1"/>
    </row>
    <row r="741" spans="1:4" x14ac:dyDescent="0.2">
      <c r="A741" s="2"/>
      <c r="B741" s="1"/>
      <c r="C741" s="1"/>
      <c r="D741" s="1"/>
    </row>
    <row r="742" spans="1:4" x14ac:dyDescent="0.2">
      <c r="A742" s="2"/>
      <c r="B742" s="1"/>
      <c r="C742" s="1"/>
      <c r="D742" s="1"/>
    </row>
    <row r="743" spans="1:4" x14ac:dyDescent="0.2">
      <c r="A743" s="2"/>
      <c r="B743" s="1"/>
      <c r="C743" s="1"/>
      <c r="D743" s="1"/>
    </row>
    <row r="744" spans="1:4" x14ac:dyDescent="0.2">
      <c r="A744" s="2"/>
      <c r="B744" s="1"/>
      <c r="C744" s="1"/>
      <c r="D744" s="1"/>
    </row>
    <row r="745" spans="1:4" x14ac:dyDescent="0.2">
      <c r="A745" s="2"/>
      <c r="B745" s="1"/>
      <c r="C745" s="1"/>
      <c r="D745" s="1"/>
    </row>
    <row r="746" spans="1:4" x14ac:dyDescent="0.2">
      <c r="A746" s="2"/>
      <c r="B746" s="1"/>
      <c r="C746" s="1"/>
      <c r="D746" s="1"/>
    </row>
    <row r="747" spans="1:4" x14ac:dyDescent="0.2">
      <c r="A747" s="2"/>
      <c r="B747" s="1"/>
      <c r="C747" s="1"/>
      <c r="D747" s="1"/>
    </row>
    <row r="748" spans="1:4" x14ac:dyDescent="0.2">
      <c r="A748" s="2"/>
      <c r="B748" s="1"/>
      <c r="C748" s="1"/>
      <c r="D748" s="1"/>
    </row>
    <row r="749" spans="1:4" x14ac:dyDescent="0.2">
      <c r="A749" s="2"/>
      <c r="B749" s="1"/>
      <c r="C749" s="1"/>
      <c r="D749" s="1"/>
    </row>
    <row r="750" spans="1:4" x14ac:dyDescent="0.2">
      <c r="A750" s="2"/>
      <c r="B750" s="1"/>
      <c r="C750" s="1"/>
      <c r="D750" s="1"/>
    </row>
    <row r="751" spans="1:4" x14ac:dyDescent="0.2">
      <c r="A751" s="2"/>
      <c r="B751" s="1"/>
      <c r="C751" s="1"/>
      <c r="D751" s="1"/>
    </row>
    <row r="752" spans="1:4" x14ac:dyDescent="0.2">
      <c r="A752" s="2"/>
      <c r="B752" s="1"/>
      <c r="C752" s="1"/>
      <c r="D752" s="1"/>
    </row>
    <row r="753" spans="1:4" x14ac:dyDescent="0.2">
      <c r="A753" s="2"/>
      <c r="B753" s="1"/>
      <c r="C753" s="1"/>
      <c r="D753" s="1"/>
    </row>
    <row r="754" spans="1:4" x14ac:dyDescent="0.2">
      <c r="A754" s="2"/>
      <c r="B754" s="1"/>
      <c r="C754" s="1"/>
      <c r="D754" s="1"/>
    </row>
    <row r="755" spans="1:4" x14ac:dyDescent="0.2">
      <c r="A755" s="2"/>
      <c r="B755" s="1"/>
      <c r="C755" s="1"/>
      <c r="D755" s="1"/>
    </row>
    <row r="756" spans="1:4" x14ac:dyDescent="0.2">
      <c r="A756" s="2"/>
      <c r="B756" s="1"/>
      <c r="C756" s="1"/>
      <c r="D756" s="1"/>
    </row>
    <row r="757" spans="1:4" x14ac:dyDescent="0.2">
      <c r="A757" s="2"/>
      <c r="B757" s="1"/>
      <c r="C757" s="1"/>
      <c r="D757" s="1"/>
    </row>
    <row r="758" spans="1:4" x14ac:dyDescent="0.2">
      <c r="A758" s="2"/>
      <c r="B758" s="1"/>
      <c r="C758" s="1"/>
      <c r="D758" s="1"/>
    </row>
    <row r="759" spans="1:4" x14ac:dyDescent="0.2">
      <c r="A759" s="2"/>
      <c r="B759" s="1"/>
      <c r="C759" s="1"/>
      <c r="D759" s="1"/>
    </row>
    <row r="760" spans="1:4" x14ac:dyDescent="0.2">
      <c r="A760" s="2"/>
      <c r="B760" s="1"/>
      <c r="C760" s="1"/>
      <c r="D760" s="1"/>
    </row>
    <row r="761" spans="1:4" x14ac:dyDescent="0.2">
      <c r="A761" s="2"/>
      <c r="B761" s="1"/>
      <c r="C761" s="1"/>
      <c r="D761" s="1"/>
    </row>
    <row r="762" spans="1:4" x14ac:dyDescent="0.2">
      <c r="A762" s="2"/>
      <c r="B762" s="1"/>
      <c r="C762" s="1"/>
      <c r="D762" s="1"/>
    </row>
    <row r="763" spans="1:4" x14ac:dyDescent="0.2">
      <c r="A763" s="2"/>
      <c r="B763" s="1"/>
      <c r="C763" s="1"/>
      <c r="D763" s="1"/>
    </row>
    <row r="764" spans="1:4" x14ac:dyDescent="0.2">
      <c r="A764" s="2"/>
      <c r="B764" s="1"/>
      <c r="C764" s="1"/>
      <c r="D764" s="1"/>
    </row>
    <row r="765" spans="1:4" x14ac:dyDescent="0.2">
      <c r="A765" s="2"/>
      <c r="B765" s="1"/>
      <c r="C765" s="1"/>
      <c r="D765" s="1"/>
    </row>
    <row r="766" spans="1:4" x14ac:dyDescent="0.2">
      <c r="A766" s="2"/>
      <c r="B766" s="1"/>
      <c r="C766" s="1"/>
      <c r="D766" s="1"/>
    </row>
    <row r="767" spans="1:4" x14ac:dyDescent="0.2">
      <c r="A767" s="2"/>
      <c r="B767" s="1"/>
      <c r="C767" s="1"/>
      <c r="D767" s="1"/>
    </row>
    <row r="768" spans="1:4" x14ac:dyDescent="0.2">
      <c r="A768" s="2"/>
      <c r="B768" s="1"/>
      <c r="C768" s="1"/>
      <c r="D768" s="1"/>
    </row>
    <row r="769" spans="1:4" x14ac:dyDescent="0.2">
      <c r="A769" s="2"/>
      <c r="B769" s="1"/>
      <c r="C769" s="1"/>
      <c r="D769" s="1"/>
    </row>
    <row r="770" spans="1:4" x14ac:dyDescent="0.2">
      <c r="A770" s="2"/>
      <c r="B770" s="1"/>
      <c r="C770" s="1"/>
      <c r="D770" s="1"/>
    </row>
    <row r="771" spans="1:4" x14ac:dyDescent="0.2">
      <c r="A771" s="2"/>
      <c r="B771" s="1"/>
      <c r="C771" s="1"/>
      <c r="D771" s="1"/>
    </row>
    <row r="772" spans="1:4" x14ac:dyDescent="0.2">
      <c r="A772" s="2"/>
      <c r="B772" s="1"/>
      <c r="C772" s="1"/>
      <c r="D772" s="1"/>
    </row>
    <row r="773" spans="1:4" x14ac:dyDescent="0.2">
      <c r="A773" s="2"/>
      <c r="B773" s="1"/>
      <c r="C773" s="1"/>
      <c r="D773" s="1"/>
    </row>
    <row r="774" spans="1:4" x14ac:dyDescent="0.2">
      <c r="A774" s="2"/>
      <c r="B774" s="1"/>
      <c r="C774" s="1"/>
      <c r="D774" s="1"/>
    </row>
    <row r="775" spans="1:4" x14ac:dyDescent="0.2">
      <c r="A775" s="2"/>
      <c r="B775" s="1"/>
      <c r="C775" s="1"/>
      <c r="D775" s="1"/>
    </row>
    <row r="776" spans="1:4" x14ac:dyDescent="0.2">
      <c r="A776" s="2"/>
      <c r="B776" s="1"/>
      <c r="C776" s="1"/>
      <c r="D776" s="1"/>
    </row>
    <row r="777" spans="1:4" x14ac:dyDescent="0.2">
      <c r="A777" s="2"/>
      <c r="B777" s="1"/>
      <c r="C777" s="1"/>
      <c r="D777" s="1"/>
    </row>
    <row r="778" spans="1:4" x14ac:dyDescent="0.2">
      <c r="A778" s="2"/>
      <c r="B778" s="1"/>
      <c r="C778" s="1"/>
      <c r="D778" s="1"/>
    </row>
    <row r="779" spans="1:4" x14ac:dyDescent="0.2">
      <c r="A779" s="2"/>
      <c r="B779" s="1"/>
      <c r="C779" s="1"/>
      <c r="D779" s="1"/>
    </row>
    <row r="780" spans="1:4" x14ac:dyDescent="0.2">
      <c r="A780" s="2"/>
      <c r="B780" s="1"/>
      <c r="C780" s="1"/>
      <c r="D780" s="1"/>
    </row>
    <row r="781" spans="1:4" x14ac:dyDescent="0.2">
      <c r="A781" s="2"/>
      <c r="B781" s="1"/>
      <c r="C781" s="1"/>
      <c r="D781" s="1"/>
    </row>
    <row r="782" spans="1:4" x14ac:dyDescent="0.2">
      <c r="A782" s="2"/>
      <c r="B782" s="1"/>
      <c r="C782" s="1"/>
      <c r="D782" s="1"/>
    </row>
    <row r="783" spans="1:4" x14ac:dyDescent="0.2">
      <c r="A783" s="2"/>
      <c r="B783" s="1"/>
      <c r="C783" s="1"/>
      <c r="D783" s="1"/>
    </row>
    <row r="784" spans="1:4" x14ac:dyDescent="0.2">
      <c r="A784" s="2"/>
      <c r="B784" s="1"/>
      <c r="C784" s="1"/>
      <c r="D784" s="1"/>
    </row>
    <row r="785" spans="1:4" x14ac:dyDescent="0.2">
      <c r="A785" s="2"/>
      <c r="B785" s="1"/>
      <c r="C785" s="1"/>
      <c r="D785" s="1"/>
    </row>
    <row r="786" spans="1:4" x14ac:dyDescent="0.2">
      <c r="A786" s="2"/>
      <c r="B786" s="1"/>
      <c r="C786" s="1"/>
      <c r="D786" s="1"/>
    </row>
    <row r="787" spans="1:4" x14ac:dyDescent="0.2">
      <c r="A787" s="2"/>
      <c r="B787" s="1"/>
      <c r="C787" s="1"/>
      <c r="D787" s="1"/>
    </row>
    <row r="788" spans="1:4" x14ac:dyDescent="0.2">
      <c r="A788" s="2"/>
      <c r="B788" s="1"/>
      <c r="C788" s="1"/>
      <c r="D788" s="1"/>
    </row>
    <row r="789" spans="1:4" x14ac:dyDescent="0.2">
      <c r="A789" s="2"/>
      <c r="B789" s="1"/>
      <c r="C789" s="1"/>
      <c r="D789" s="1"/>
    </row>
    <row r="790" spans="1:4" x14ac:dyDescent="0.2">
      <c r="A790" s="2"/>
      <c r="B790" s="1"/>
      <c r="C790" s="1"/>
      <c r="D790" s="1"/>
    </row>
    <row r="791" spans="1:4" x14ac:dyDescent="0.2">
      <c r="A791" s="2"/>
      <c r="B791" s="1"/>
      <c r="C791" s="1"/>
      <c r="D791" s="1"/>
    </row>
    <row r="792" spans="1:4" x14ac:dyDescent="0.2">
      <c r="A792" s="2"/>
      <c r="B792" s="1"/>
      <c r="C792" s="1"/>
      <c r="D792" s="1"/>
    </row>
    <row r="793" spans="1:4" x14ac:dyDescent="0.2">
      <c r="A793" s="2"/>
      <c r="B793" s="1"/>
      <c r="C793" s="1"/>
      <c r="D793" s="1"/>
    </row>
    <row r="794" spans="1:4" x14ac:dyDescent="0.2">
      <c r="A794" s="2"/>
      <c r="B794" s="1"/>
      <c r="C794" s="1"/>
      <c r="D794" s="1"/>
    </row>
    <row r="795" spans="1:4" x14ac:dyDescent="0.2">
      <c r="A795" s="2"/>
      <c r="B795" s="1"/>
      <c r="C795" s="1"/>
      <c r="D795" s="1"/>
    </row>
    <row r="796" spans="1:4" x14ac:dyDescent="0.2">
      <c r="A796" s="2"/>
      <c r="B796" s="1"/>
      <c r="C796" s="1"/>
      <c r="D796" s="1"/>
    </row>
    <row r="797" spans="1:4" x14ac:dyDescent="0.2">
      <c r="A797" s="2"/>
      <c r="B797" s="1"/>
      <c r="C797" s="1"/>
      <c r="D797" s="1"/>
    </row>
    <row r="798" spans="1:4" x14ac:dyDescent="0.2">
      <c r="A798" s="2"/>
      <c r="B798" s="1"/>
      <c r="C798" s="1"/>
      <c r="D798" s="1"/>
    </row>
    <row r="799" spans="1:4" x14ac:dyDescent="0.2">
      <c r="A799" s="2"/>
      <c r="B799" s="1"/>
      <c r="C799" s="1"/>
      <c r="D799" s="1"/>
    </row>
    <row r="800" spans="1:4" x14ac:dyDescent="0.2">
      <c r="A800" s="2"/>
      <c r="B800" s="1"/>
      <c r="C800" s="1"/>
      <c r="D800" s="1"/>
    </row>
    <row r="801" spans="1:4" x14ac:dyDescent="0.2">
      <c r="A801" s="2"/>
      <c r="B801" s="1"/>
      <c r="C801" s="1"/>
      <c r="D801" s="1"/>
    </row>
    <row r="802" spans="1:4" x14ac:dyDescent="0.2">
      <c r="A802" s="2"/>
      <c r="B802" s="1"/>
      <c r="C802" s="1"/>
      <c r="D802" s="1"/>
    </row>
    <row r="803" spans="1:4" x14ac:dyDescent="0.2">
      <c r="A803" s="2"/>
      <c r="B803" s="1"/>
      <c r="C803" s="1"/>
      <c r="D803" s="1"/>
    </row>
    <row r="804" spans="1:4" x14ac:dyDescent="0.2">
      <c r="A804" s="2"/>
      <c r="B804" s="1"/>
      <c r="C804" s="1"/>
      <c r="D804" s="1"/>
    </row>
    <row r="805" spans="1:4" x14ac:dyDescent="0.2">
      <c r="A805" s="2"/>
      <c r="B805" s="1"/>
      <c r="C805" s="1"/>
      <c r="D805" s="1"/>
    </row>
    <row r="806" spans="1:4" x14ac:dyDescent="0.2">
      <c r="A806" s="2"/>
      <c r="B806" s="1"/>
      <c r="C806" s="1"/>
      <c r="D806" s="1"/>
    </row>
    <row r="807" spans="1:4" x14ac:dyDescent="0.2">
      <c r="A807" s="2"/>
      <c r="B807" s="1"/>
      <c r="C807" s="1"/>
      <c r="D807" s="1"/>
    </row>
    <row r="808" spans="1:4" x14ac:dyDescent="0.2">
      <c r="A808" s="2"/>
      <c r="B808" s="1"/>
      <c r="C808" s="1"/>
      <c r="D808" s="1"/>
    </row>
    <row r="809" spans="1:4" x14ac:dyDescent="0.2">
      <c r="A809" s="2"/>
      <c r="B809" s="1"/>
      <c r="C809" s="1"/>
      <c r="D809" s="1"/>
    </row>
    <row r="810" spans="1:4" x14ac:dyDescent="0.2">
      <c r="A810" s="2"/>
      <c r="B810" s="1"/>
      <c r="C810" s="1"/>
      <c r="D810" s="1"/>
    </row>
    <row r="811" spans="1:4" x14ac:dyDescent="0.2">
      <c r="A811" s="2"/>
      <c r="B811" s="1"/>
      <c r="C811" s="1"/>
      <c r="D811" s="1"/>
    </row>
    <row r="812" spans="1:4" x14ac:dyDescent="0.2">
      <c r="A812" s="2"/>
      <c r="B812" s="1"/>
      <c r="C812" s="1"/>
      <c r="D812" s="1"/>
    </row>
    <row r="813" spans="1:4" x14ac:dyDescent="0.2">
      <c r="A813" s="2"/>
      <c r="B813" s="1"/>
      <c r="C813" s="1"/>
      <c r="D813" s="1"/>
    </row>
    <row r="814" spans="1:4" x14ac:dyDescent="0.2">
      <c r="A814" s="2"/>
      <c r="B814" s="1"/>
      <c r="C814" s="1"/>
      <c r="D814" s="1"/>
    </row>
    <row r="815" spans="1:4" x14ac:dyDescent="0.2">
      <c r="A815" s="2"/>
      <c r="B815" s="1"/>
      <c r="C815" s="1"/>
      <c r="D815" s="1"/>
    </row>
    <row r="816" spans="1:4" x14ac:dyDescent="0.2">
      <c r="A816" s="2"/>
      <c r="B816" s="1"/>
      <c r="C816" s="1"/>
      <c r="D816" s="1"/>
    </row>
    <row r="817" spans="1:4" x14ac:dyDescent="0.2">
      <c r="A817" s="2"/>
      <c r="B817" s="1"/>
      <c r="C817" s="1"/>
      <c r="D817" s="1"/>
    </row>
    <row r="818" spans="1:4" x14ac:dyDescent="0.2">
      <c r="A818" s="2"/>
      <c r="B818" s="1"/>
      <c r="C818" s="1"/>
      <c r="D818" s="1"/>
    </row>
    <row r="819" spans="1:4" x14ac:dyDescent="0.2">
      <c r="A819" s="2"/>
      <c r="B819" s="1"/>
      <c r="C819" s="1"/>
      <c r="D819" s="1"/>
    </row>
    <row r="820" spans="1:4" x14ac:dyDescent="0.2">
      <c r="A820" s="2"/>
      <c r="B820" s="1"/>
      <c r="C820" s="1"/>
      <c r="D820" s="1"/>
    </row>
    <row r="821" spans="1:4" x14ac:dyDescent="0.2">
      <c r="A821" s="2"/>
      <c r="B821" s="1"/>
      <c r="C821" s="1"/>
      <c r="D821" s="1"/>
    </row>
    <row r="822" spans="1:4" x14ac:dyDescent="0.2">
      <c r="A822" s="2"/>
      <c r="B822" s="1"/>
      <c r="C822" s="1"/>
      <c r="D822" s="1"/>
    </row>
    <row r="823" spans="1:4" x14ac:dyDescent="0.2">
      <c r="A823" s="2"/>
      <c r="B823" s="1"/>
      <c r="C823" s="1"/>
      <c r="D823" s="1"/>
    </row>
    <row r="824" spans="1:4" x14ac:dyDescent="0.2">
      <c r="A824" s="2"/>
      <c r="B824" s="1"/>
      <c r="C824" s="1"/>
      <c r="D824" s="1"/>
    </row>
    <row r="825" spans="1:4" x14ac:dyDescent="0.2">
      <c r="A825" s="2"/>
      <c r="B825" s="1"/>
      <c r="C825" s="1"/>
      <c r="D825" s="1"/>
    </row>
    <row r="826" spans="1:4" x14ac:dyDescent="0.2">
      <c r="A826" s="2"/>
      <c r="B826" s="1"/>
      <c r="C826" s="1"/>
      <c r="D826" s="1"/>
    </row>
    <row r="827" spans="1:4" x14ac:dyDescent="0.2">
      <c r="A827" s="2"/>
      <c r="B827" s="1"/>
      <c r="C827" s="1"/>
      <c r="D827" s="1"/>
    </row>
    <row r="828" spans="1:4" x14ac:dyDescent="0.2">
      <c r="A828" s="2"/>
      <c r="B828" s="1"/>
      <c r="C828" s="1"/>
      <c r="D828" s="1"/>
    </row>
    <row r="829" spans="1:4" x14ac:dyDescent="0.2">
      <c r="A829" s="2"/>
      <c r="B829" s="1"/>
      <c r="C829" s="1"/>
      <c r="D829" s="1"/>
    </row>
    <row r="830" spans="1:4" x14ac:dyDescent="0.2">
      <c r="A830" s="2"/>
      <c r="B830" s="1"/>
      <c r="C830" s="1"/>
      <c r="D830" s="1"/>
    </row>
    <row r="831" spans="1:4" x14ac:dyDescent="0.2">
      <c r="A831" s="2"/>
      <c r="B831" s="1"/>
      <c r="C831" s="1"/>
      <c r="D831" s="1"/>
    </row>
    <row r="832" spans="1:4" x14ac:dyDescent="0.2">
      <c r="A832" s="2"/>
      <c r="B832" s="1"/>
      <c r="C832" s="1"/>
      <c r="D832" s="1"/>
    </row>
    <row r="833" spans="1:4" x14ac:dyDescent="0.2">
      <c r="A833" s="2"/>
      <c r="B833" s="1"/>
      <c r="C833" s="1"/>
      <c r="D833" s="1"/>
    </row>
    <row r="834" spans="1:4" x14ac:dyDescent="0.2">
      <c r="A834" s="2"/>
      <c r="B834" s="1"/>
      <c r="C834" s="1"/>
      <c r="D834" s="1"/>
    </row>
    <row r="835" spans="1:4" x14ac:dyDescent="0.2">
      <c r="A835" s="2"/>
      <c r="B835" s="1"/>
      <c r="C835" s="1"/>
      <c r="D835" s="1"/>
    </row>
    <row r="836" spans="1:4" x14ac:dyDescent="0.2">
      <c r="A836" s="2"/>
      <c r="B836" s="1"/>
      <c r="C836" s="1"/>
      <c r="D836" s="1"/>
    </row>
    <row r="837" spans="1:4" x14ac:dyDescent="0.2">
      <c r="A837" s="2"/>
      <c r="B837" s="1"/>
      <c r="C837" s="1"/>
      <c r="D837" s="1"/>
    </row>
    <row r="838" spans="1:4" x14ac:dyDescent="0.2">
      <c r="A838" s="2"/>
      <c r="B838" s="1"/>
      <c r="C838" s="1"/>
      <c r="D838" s="1"/>
    </row>
    <row r="839" spans="1:4" x14ac:dyDescent="0.2">
      <c r="A839" s="2"/>
      <c r="B839" s="1"/>
      <c r="C839" s="1"/>
      <c r="D839" s="1"/>
    </row>
    <row r="840" spans="1:4" x14ac:dyDescent="0.2">
      <c r="A840" s="2"/>
      <c r="B840" s="1"/>
      <c r="C840" s="1"/>
      <c r="D840" s="1"/>
    </row>
    <row r="841" spans="1:4" x14ac:dyDescent="0.2">
      <c r="A841" s="2"/>
      <c r="B841" s="1"/>
      <c r="C841" s="1"/>
      <c r="D841" s="1"/>
    </row>
    <row r="842" spans="1:4" x14ac:dyDescent="0.2">
      <c r="A842" s="2"/>
      <c r="B842" s="1"/>
      <c r="C842" s="1"/>
      <c r="D842" s="1"/>
    </row>
    <row r="843" spans="1:4" x14ac:dyDescent="0.2">
      <c r="A843" s="2"/>
      <c r="B843" s="1"/>
      <c r="C843" s="1"/>
      <c r="D843" s="1"/>
    </row>
    <row r="844" spans="1:4" x14ac:dyDescent="0.2">
      <c r="A844" s="2"/>
      <c r="B844" s="1"/>
      <c r="C844" s="1"/>
      <c r="D844" s="1"/>
    </row>
    <row r="845" spans="1:4" x14ac:dyDescent="0.2">
      <c r="A845" s="2"/>
      <c r="B845" s="1"/>
      <c r="C845" s="1"/>
      <c r="D845" s="1"/>
    </row>
    <row r="846" spans="1:4" x14ac:dyDescent="0.2">
      <c r="A846" s="2"/>
      <c r="B846" s="1"/>
      <c r="C846" s="1"/>
      <c r="D846" s="1"/>
    </row>
    <row r="847" spans="1:4" x14ac:dyDescent="0.2">
      <c r="A847" s="2"/>
      <c r="B847" s="1"/>
      <c r="C847" s="1"/>
      <c r="D847" s="1"/>
    </row>
    <row r="848" spans="1:4" x14ac:dyDescent="0.2">
      <c r="A848" s="2"/>
      <c r="B848" s="1"/>
      <c r="C848" s="1"/>
      <c r="D848" s="1"/>
    </row>
    <row r="849" spans="1:4" x14ac:dyDescent="0.2">
      <c r="A849" s="2"/>
      <c r="B849" s="1"/>
      <c r="C849" s="1"/>
      <c r="D849" s="1"/>
    </row>
    <row r="850" spans="1:4" x14ac:dyDescent="0.2">
      <c r="A850" s="2"/>
      <c r="B850" s="1"/>
      <c r="C850" s="1"/>
      <c r="D850" s="1"/>
    </row>
    <row r="851" spans="1:4" x14ac:dyDescent="0.2">
      <c r="A851" s="2"/>
      <c r="B851" s="1"/>
      <c r="C851" s="1"/>
      <c r="D851" s="1"/>
    </row>
    <row r="852" spans="1:4" x14ac:dyDescent="0.2">
      <c r="A852" s="2"/>
      <c r="B852" s="1"/>
      <c r="C852" s="1"/>
      <c r="D852" s="1"/>
    </row>
    <row r="853" spans="1:4" x14ac:dyDescent="0.2">
      <c r="A853" s="2"/>
      <c r="B853" s="1"/>
      <c r="C853" s="1"/>
      <c r="D853" s="1"/>
    </row>
    <row r="854" spans="1:4" x14ac:dyDescent="0.2">
      <c r="A854" s="2"/>
      <c r="B854" s="1"/>
      <c r="C854" s="1"/>
      <c r="D854" s="1"/>
    </row>
    <row r="855" spans="1:4" x14ac:dyDescent="0.2">
      <c r="A855" s="2"/>
      <c r="B855" s="1"/>
      <c r="C855" s="1"/>
      <c r="D855" s="1"/>
    </row>
    <row r="856" spans="1:4" x14ac:dyDescent="0.2">
      <c r="A856" s="2"/>
      <c r="B856" s="1"/>
      <c r="C856" s="1"/>
      <c r="D856" s="1"/>
    </row>
    <row r="857" spans="1:4" x14ac:dyDescent="0.2">
      <c r="A857" s="2"/>
      <c r="B857" s="1"/>
      <c r="C857" s="1"/>
      <c r="D857" s="1"/>
    </row>
    <row r="858" spans="1:4" x14ac:dyDescent="0.2">
      <c r="A858" s="2"/>
      <c r="B858" s="1"/>
      <c r="C858" s="1"/>
      <c r="D858" s="1"/>
    </row>
    <row r="859" spans="1:4" x14ac:dyDescent="0.2">
      <c r="A859" s="2"/>
      <c r="B859" s="1"/>
      <c r="C859" s="1"/>
      <c r="D859" s="1"/>
    </row>
    <row r="860" spans="1:4" x14ac:dyDescent="0.2">
      <c r="A860" s="2"/>
      <c r="B860" s="1"/>
      <c r="C860" s="1"/>
      <c r="D860" s="1"/>
    </row>
    <row r="861" spans="1:4" x14ac:dyDescent="0.2">
      <c r="A861" s="2"/>
      <c r="B861" s="1"/>
      <c r="C861" s="1"/>
      <c r="D861" s="1"/>
    </row>
    <row r="862" spans="1:4" x14ac:dyDescent="0.2">
      <c r="A862" s="2"/>
      <c r="B862" s="1"/>
      <c r="C862" s="1"/>
      <c r="D862" s="1"/>
    </row>
    <row r="863" spans="1:4" x14ac:dyDescent="0.2">
      <c r="A863" s="2"/>
      <c r="B863" s="1"/>
      <c r="C863" s="1"/>
      <c r="D863" s="1"/>
    </row>
    <row r="864" spans="1:4" x14ac:dyDescent="0.2">
      <c r="A864" s="2"/>
      <c r="B864" s="1"/>
      <c r="C864" s="1"/>
      <c r="D864" s="1"/>
    </row>
    <row r="865" spans="1:4" x14ac:dyDescent="0.2">
      <c r="A865" s="2"/>
      <c r="B865" s="1"/>
      <c r="C865" s="1"/>
      <c r="D865" s="1"/>
    </row>
    <row r="866" spans="1:4" x14ac:dyDescent="0.2">
      <c r="A866" s="2"/>
      <c r="B866" s="1"/>
      <c r="C866" s="1"/>
      <c r="D866" s="1"/>
    </row>
    <row r="867" spans="1:4" x14ac:dyDescent="0.2">
      <c r="A867" s="2"/>
      <c r="B867" s="1"/>
      <c r="C867" s="1"/>
      <c r="D867" s="1"/>
    </row>
    <row r="868" spans="1:4" x14ac:dyDescent="0.2">
      <c r="A868" s="2"/>
      <c r="B868" s="1"/>
      <c r="C868" s="1"/>
      <c r="D868" s="1"/>
    </row>
    <row r="869" spans="1:4" x14ac:dyDescent="0.2">
      <c r="A869" s="2"/>
      <c r="B869" s="1"/>
      <c r="C869" s="1"/>
      <c r="D869" s="1"/>
    </row>
    <row r="870" spans="1:4" x14ac:dyDescent="0.2">
      <c r="A870" s="2"/>
      <c r="B870" s="1"/>
      <c r="C870" s="1"/>
      <c r="D870" s="1"/>
    </row>
    <row r="871" spans="1:4" x14ac:dyDescent="0.2">
      <c r="A871" s="2"/>
      <c r="B871" s="1"/>
      <c r="C871" s="1"/>
      <c r="D871" s="1"/>
    </row>
    <row r="872" spans="1:4" x14ac:dyDescent="0.2">
      <c r="A872" s="2"/>
      <c r="B872" s="1"/>
      <c r="C872" s="1"/>
      <c r="D872" s="1"/>
    </row>
    <row r="873" spans="1:4" x14ac:dyDescent="0.2">
      <c r="A873" s="2"/>
      <c r="B873" s="1"/>
      <c r="C873" s="1"/>
      <c r="D873" s="1"/>
    </row>
    <row r="874" spans="1:4" x14ac:dyDescent="0.2">
      <c r="A874" s="2"/>
      <c r="B874" s="1"/>
      <c r="C874" s="1"/>
      <c r="D874" s="1"/>
    </row>
    <row r="875" spans="1:4" x14ac:dyDescent="0.2">
      <c r="A875" s="2"/>
      <c r="B875" s="1"/>
      <c r="C875" s="1"/>
      <c r="D875" s="1"/>
    </row>
    <row r="876" spans="1:4" x14ac:dyDescent="0.2">
      <c r="A876" s="2"/>
      <c r="B876" s="1"/>
      <c r="C876" s="1"/>
      <c r="D876" s="1"/>
    </row>
    <row r="877" spans="1:4" x14ac:dyDescent="0.2">
      <c r="A877" s="2"/>
      <c r="B877" s="1"/>
      <c r="C877" s="1"/>
      <c r="D877" s="1"/>
    </row>
    <row r="878" spans="1:4" x14ac:dyDescent="0.2">
      <c r="A878" s="2"/>
      <c r="B878" s="1"/>
      <c r="C878" s="1"/>
      <c r="D878" s="1"/>
    </row>
    <row r="879" spans="1:4" x14ac:dyDescent="0.2">
      <c r="A879" s="2"/>
      <c r="B879" s="1"/>
      <c r="C879" s="1"/>
      <c r="D879" s="1"/>
    </row>
    <row r="880" spans="1:4" x14ac:dyDescent="0.2">
      <c r="A880" s="2"/>
      <c r="B880" s="1"/>
      <c r="C880" s="1"/>
      <c r="D880" s="1"/>
    </row>
    <row r="881" spans="1:4" x14ac:dyDescent="0.2">
      <c r="A881" s="2"/>
      <c r="B881" s="1"/>
      <c r="C881" s="1"/>
      <c r="D881" s="1"/>
    </row>
    <row r="882" spans="1:4" x14ac:dyDescent="0.2">
      <c r="A882" s="2"/>
      <c r="B882" s="1"/>
      <c r="C882" s="1"/>
      <c r="D882" s="1"/>
    </row>
    <row r="883" spans="1:4" x14ac:dyDescent="0.2">
      <c r="A883" s="2"/>
      <c r="B883" s="1"/>
      <c r="C883" s="1"/>
      <c r="D883" s="1"/>
    </row>
    <row r="884" spans="1:4" x14ac:dyDescent="0.2">
      <c r="A884" s="2"/>
      <c r="B884" s="1"/>
      <c r="C884" s="1"/>
      <c r="D884" s="1"/>
    </row>
    <row r="885" spans="1:4" x14ac:dyDescent="0.2">
      <c r="A885" s="2"/>
      <c r="B885" s="1"/>
      <c r="C885" s="1"/>
      <c r="D885" s="1"/>
    </row>
    <row r="886" spans="1:4" x14ac:dyDescent="0.2">
      <c r="A886" s="2"/>
      <c r="B886" s="1"/>
      <c r="C886" s="1"/>
      <c r="D886" s="1"/>
    </row>
    <row r="887" spans="1:4" x14ac:dyDescent="0.2">
      <c r="A887" s="2"/>
      <c r="B887" s="1"/>
      <c r="C887" s="1"/>
      <c r="D887" s="1"/>
    </row>
    <row r="888" spans="1:4" x14ac:dyDescent="0.2">
      <c r="A888" s="2"/>
      <c r="B888" s="1"/>
      <c r="C888" s="1"/>
      <c r="D888" s="1"/>
    </row>
    <row r="889" spans="1:4" x14ac:dyDescent="0.2">
      <c r="A889" s="2"/>
      <c r="B889" s="1"/>
      <c r="C889" s="1"/>
      <c r="D889" s="1"/>
    </row>
    <row r="890" spans="1:4" x14ac:dyDescent="0.2">
      <c r="A890" s="2"/>
      <c r="B890" s="1"/>
      <c r="C890" s="1"/>
      <c r="D890" s="1"/>
    </row>
    <row r="891" spans="1:4" x14ac:dyDescent="0.2">
      <c r="A891" s="2"/>
      <c r="B891" s="1"/>
      <c r="C891" s="1"/>
      <c r="D891" s="1"/>
    </row>
    <row r="892" spans="1:4" x14ac:dyDescent="0.2">
      <c r="A892" s="2"/>
      <c r="B892" s="1"/>
      <c r="C892" s="1"/>
      <c r="D892" s="1"/>
    </row>
    <row r="893" spans="1:4" x14ac:dyDescent="0.2">
      <c r="A893" s="2"/>
      <c r="B893" s="1"/>
      <c r="C893" s="1"/>
      <c r="D893" s="1"/>
    </row>
    <row r="894" spans="1:4" x14ac:dyDescent="0.2">
      <c r="A894" s="2"/>
      <c r="B894" s="1"/>
      <c r="C894" s="1"/>
      <c r="D894" s="1"/>
    </row>
    <row r="895" spans="1:4" x14ac:dyDescent="0.2">
      <c r="A895" s="2"/>
      <c r="B895" s="1"/>
      <c r="C895" s="1"/>
      <c r="D895" s="1"/>
    </row>
    <row r="896" spans="1:4" x14ac:dyDescent="0.2">
      <c r="A896" s="2"/>
      <c r="B896" s="1"/>
      <c r="C896" s="1"/>
      <c r="D896" s="1"/>
    </row>
    <row r="897" spans="1:4" x14ac:dyDescent="0.2">
      <c r="A897" s="2"/>
      <c r="B897" s="1"/>
      <c r="C897" s="1"/>
      <c r="D897" s="1"/>
    </row>
    <row r="898" spans="1:4" x14ac:dyDescent="0.2">
      <c r="A898" s="2"/>
      <c r="B898" s="1"/>
      <c r="C898" s="1"/>
      <c r="D898" s="1"/>
    </row>
    <row r="899" spans="1:4" x14ac:dyDescent="0.2">
      <c r="A899" s="2"/>
      <c r="B899" s="1"/>
      <c r="C899" s="1"/>
      <c r="D899" s="1"/>
    </row>
    <row r="900" spans="1:4" x14ac:dyDescent="0.2">
      <c r="A900" s="2"/>
      <c r="B900" s="1"/>
      <c r="C900" s="1"/>
      <c r="D900" s="1"/>
    </row>
    <row r="901" spans="1:4" x14ac:dyDescent="0.2">
      <c r="A901" s="2"/>
      <c r="B901" s="1"/>
      <c r="C901" s="1"/>
      <c r="D901" s="1"/>
    </row>
    <row r="902" spans="1:4" x14ac:dyDescent="0.2">
      <c r="A902" s="2"/>
      <c r="B902" s="1"/>
      <c r="C902" s="1"/>
      <c r="D902" s="1"/>
    </row>
    <row r="903" spans="1:4" x14ac:dyDescent="0.2">
      <c r="A903" s="2"/>
      <c r="B903" s="1"/>
      <c r="C903" s="1"/>
      <c r="D903" s="1"/>
    </row>
    <row r="904" spans="1:4" x14ac:dyDescent="0.2">
      <c r="A904" s="2"/>
      <c r="B904" s="1"/>
      <c r="C904" s="1"/>
      <c r="D904" s="1"/>
    </row>
    <row r="905" spans="1:4" x14ac:dyDescent="0.2">
      <c r="A905" s="2"/>
      <c r="B905" s="1"/>
      <c r="C905" s="1"/>
      <c r="D905" s="1"/>
    </row>
    <row r="906" spans="1:4" x14ac:dyDescent="0.2">
      <c r="A906" s="2"/>
      <c r="B906" s="1"/>
      <c r="C906" s="1"/>
      <c r="D906" s="1"/>
    </row>
    <row r="907" spans="1:4" x14ac:dyDescent="0.2">
      <c r="A907" s="2"/>
      <c r="B907" s="1"/>
      <c r="C907" s="1"/>
      <c r="D907" s="1"/>
    </row>
    <row r="908" spans="1:4" x14ac:dyDescent="0.2">
      <c r="A908" s="2"/>
      <c r="B908" s="1"/>
      <c r="C908" s="1"/>
      <c r="D908" s="1"/>
    </row>
    <row r="909" spans="1:4" x14ac:dyDescent="0.2">
      <c r="A909" s="2"/>
      <c r="B909" s="1"/>
      <c r="C909" s="1"/>
      <c r="D909" s="1"/>
    </row>
    <row r="910" spans="1:4" x14ac:dyDescent="0.2">
      <c r="A910" s="2"/>
      <c r="B910" s="1"/>
      <c r="C910" s="1"/>
      <c r="D910" s="1"/>
    </row>
    <row r="911" spans="1:4" x14ac:dyDescent="0.2">
      <c r="A911" s="2"/>
      <c r="B911" s="1"/>
      <c r="C911" s="1"/>
      <c r="D911" s="1"/>
    </row>
    <row r="912" spans="1:4" x14ac:dyDescent="0.2">
      <c r="A912" s="2"/>
      <c r="B912" s="1"/>
      <c r="C912" s="1"/>
      <c r="D912" s="1"/>
    </row>
    <row r="913" spans="1:4" x14ac:dyDescent="0.2">
      <c r="A913" s="2"/>
      <c r="B913" s="1"/>
      <c r="C913" s="1"/>
      <c r="D913" s="1"/>
    </row>
    <row r="914" spans="1:4" x14ac:dyDescent="0.2">
      <c r="A914" s="2"/>
      <c r="B914" s="1"/>
      <c r="C914" s="1"/>
      <c r="D914" s="1"/>
    </row>
    <row r="915" spans="1:4" x14ac:dyDescent="0.2">
      <c r="A915" s="2"/>
      <c r="B915" s="1"/>
      <c r="C915" s="1"/>
      <c r="D915" s="1"/>
    </row>
    <row r="916" spans="1:4" x14ac:dyDescent="0.2">
      <c r="A916" s="2"/>
      <c r="B916" s="1"/>
      <c r="C916" s="1"/>
      <c r="D916" s="1"/>
    </row>
    <row r="917" spans="1:4" x14ac:dyDescent="0.2">
      <c r="A917" s="2"/>
      <c r="B917" s="1"/>
      <c r="C917" s="1"/>
      <c r="D917" s="1"/>
    </row>
    <row r="918" spans="1:4" x14ac:dyDescent="0.2">
      <c r="A918" s="2"/>
      <c r="B918" s="1"/>
      <c r="C918" s="1"/>
      <c r="D918" s="1"/>
    </row>
    <row r="919" spans="1:4" x14ac:dyDescent="0.2">
      <c r="A919" s="2"/>
      <c r="B919" s="1"/>
      <c r="C919" s="1"/>
      <c r="D919" s="1"/>
    </row>
    <row r="920" spans="1:4" x14ac:dyDescent="0.2">
      <c r="A920" s="2"/>
      <c r="B920" s="1"/>
      <c r="C920" s="1"/>
      <c r="D920" s="1"/>
    </row>
    <row r="921" spans="1:4" x14ac:dyDescent="0.2">
      <c r="A921" s="2"/>
      <c r="B921" s="1"/>
      <c r="C921" s="1"/>
      <c r="D921" s="1"/>
    </row>
    <row r="922" spans="1:4" x14ac:dyDescent="0.2">
      <c r="A922" s="2"/>
      <c r="B922" s="1"/>
      <c r="C922" s="1"/>
      <c r="D922" s="1"/>
    </row>
    <row r="923" spans="1:4" x14ac:dyDescent="0.2">
      <c r="A923" s="2"/>
      <c r="B923" s="1"/>
      <c r="C923" s="1"/>
      <c r="D923" s="1"/>
    </row>
    <row r="924" spans="1:4" x14ac:dyDescent="0.2">
      <c r="A924" s="2"/>
      <c r="B924" s="1"/>
      <c r="C924" s="1"/>
      <c r="D924" s="1"/>
    </row>
    <row r="925" spans="1:4" x14ac:dyDescent="0.2">
      <c r="A925" s="2"/>
      <c r="B925" s="1"/>
      <c r="C925" s="1"/>
      <c r="D925" s="1"/>
    </row>
    <row r="926" spans="1:4" x14ac:dyDescent="0.2">
      <c r="A926" s="2"/>
      <c r="B926" s="1"/>
      <c r="C926" s="1"/>
      <c r="D926" s="1"/>
    </row>
    <row r="927" spans="1:4" x14ac:dyDescent="0.2">
      <c r="A927" s="2"/>
      <c r="B927" s="1"/>
      <c r="C927" s="1"/>
      <c r="D927" s="1"/>
    </row>
    <row r="928" spans="1:4" x14ac:dyDescent="0.2">
      <c r="A928" s="2"/>
      <c r="B928" s="1"/>
      <c r="C928" s="1"/>
      <c r="D928" s="1"/>
    </row>
    <row r="929" spans="1:4" x14ac:dyDescent="0.2">
      <c r="A929" s="2"/>
      <c r="B929" s="1"/>
      <c r="C929" s="1"/>
      <c r="D929" s="1"/>
    </row>
    <row r="930" spans="1:4" x14ac:dyDescent="0.2">
      <c r="A930" s="2"/>
      <c r="B930" s="1"/>
      <c r="C930" s="1"/>
      <c r="D930" s="1"/>
    </row>
    <row r="931" spans="1:4" x14ac:dyDescent="0.2">
      <c r="A931" s="2"/>
      <c r="B931" s="1"/>
      <c r="C931" s="1"/>
      <c r="D931" s="1"/>
    </row>
    <row r="932" spans="1:4" x14ac:dyDescent="0.2">
      <c r="A932" s="2"/>
      <c r="B932" s="1"/>
      <c r="C932" s="1"/>
      <c r="D932" s="1"/>
    </row>
    <row r="933" spans="1:4" x14ac:dyDescent="0.2">
      <c r="A933" s="2"/>
      <c r="B933" s="1"/>
      <c r="C933" s="1"/>
      <c r="D933" s="1"/>
    </row>
    <row r="934" spans="1:4" x14ac:dyDescent="0.2">
      <c r="A934" s="2"/>
      <c r="B934" s="1"/>
      <c r="C934" s="1"/>
      <c r="D934" s="1"/>
    </row>
    <row r="935" spans="1:4" x14ac:dyDescent="0.2">
      <c r="A935" s="2"/>
      <c r="B935" s="1"/>
      <c r="C935" s="1"/>
      <c r="D935" s="1"/>
    </row>
    <row r="936" spans="1:4" x14ac:dyDescent="0.2">
      <c r="A936" s="2"/>
      <c r="B936" s="1"/>
      <c r="C936" s="1"/>
      <c r="D936" s="1"/>
    </row>
    <row r="937" spans="1:4" x14ac:dyDescent="0.2">
      <c r="A937" s="2"/>
      <c r="B937" s="1"/>
      <c r="C937" s="1"/>
      <c r="D937" s="1"/>
    </row>
    <row r="938" spans="1:4" x14ac:dyDescent="0.2">
      <c r="A938" s="2"/>
      <c r="B938" s="1"/>
      <c r="C938" s="1"/>
      <c r="D938" s="1"/>
    </row>
    <row r="939" spans="1:4" x14ac:dyDescent="0.2">
      <c r="A939" s="2"/>
      <c r="B939" s="1"/>
      <c r="C939" s="1"/>
      <c r="D939" s="1"/>
    </row>
    <row r="940" spans="1:4" x14ac:dyDescent="0.2">
      <c r="A940" s="2"/>
      <c r="B940" s="1"/>
      <c r="C940" s="1"/>
      <c r="D940" s="1"/>
    </row>
    <row r="941" spans="1:4" x14ac:dyDescent="0.2">
      <c r="A941" s="2"/>
      <c r="B941" s="1"/>
      <c r="C941" s="1"/>
      <c r="D941" s="1"/>
    </row>
    <row r="942" spans="1:4" x14ac:dyDescent="0.2">
      <c r="A942" s="2"/>
      <c r="B942" s="1"/>
      <c r="C942" s="1"/>
      <c r="D942" s="1"/>
    </row>
    <row r="943" spans="1:4" x14ac:dyDescent="0.2">
      <c r="A943" s="2"/>
      <c r="B943" s="1"/>
      <c r="C943" s="1"/>
      <c r="D943" s="1"/>
    </row>
    <row r="944" spans="1:4" x14ac:dyDescent="0.2">
      <c r="A944" s="2"/>
      <c r="B944" s="1"/>
      <c r="C944" s="1"/>
      <c r="D944" s="1"/>
    </row>
    <row r="945" spans="1:4" x14ac:dyDescent="0.2">
      <c r="A945" s="2"/>
      <c r="B945" s="1"/>
      <c r="C945" s="1"/>
      <c r="D945" s="1"/>
    </row>
    <row r="946" spans="1:4" x14ac:dyDescent="0.2">
      <c r="A946" s="2"/>
      <c r="B946" s="1"/>
      <c r="C946" s="1"/>
      <c r="D946" s="1"/>
    </row>
    <row r="947" spans="1:4" x14ac:dyDescent="0.2">
      <c r="A947" s="2"/>
      <c r="B947" s="1"/>
      <c r="C947" s="1"/>
      <c r="D947" s="1"/>
    </row>
    <row r="948" spans="1:4" x14ac:dyDescent="0.2">
      <c r="A948" s="2"/>
      <c r="B948" s="1"/>
      <c r="C948" s="1"/>
      <c r="D948" s="1"/>
    </row>
    <row r="949" spans="1:4" x14ac:dyDescent="0.2">
      <c r="A949" s="2"/>
      <c r="B949" s="1"/>
      <c r="C949" s="1"/>
      <c r="D949" s="1"/>
    </row>
    <row r="950" spans="1:4" x14ac:dyDescent="0.2">
      <c r="A950" s="2"/>
      <c r="B950" s="1"/>
      <c r="C950" s="1"/>
      <c r="D950" s="1"/>
    </row>
    <row r="951" spans="1:4" x14ac:dyDescent="0.2">
      <c r="A951" s="2"/>
      <c r="B951" s="1"/>
      <c r="C951" s="1"/>
      <c r="D951" s="1"/>
    </row>
    <row r="952" spans="1:4" x14ac:dyDescent="0.2">
      <c r="A952" s="2"/>
      <c r="B952" s="1"/>
      <c r="C952" s="1"/>
      <c r="D952" s="1"/>
    </row>
    <row r="953" spans="1:4" x14ac:dyDescent="0.2">
      <c r="A953" s="2"/>
      <c r="B953" s="1"/>
      <c r="C953" s="1"/>
      <c r="D953" s="1"/>
    </row>
    <row r="954" spans="1:4" x14ac:dyDescent="0.2">
      <c r="A954" s="2"/>
      <c r="B954" s="1"/>
      <c r="C954" s="1"/>
      <c r="D954" s="1"/>
    </row>
    <row r="955" spans="1:4" x14ac:dyDescent="0.2">
      <c r="A955" s="2"/>
      <c r="B955" s="1"/>
      <c r="C955" s="1"/>
      <c r="D955" s="1"/>
    </row>
    <row r="956" spans="1:4" x14ac:dyDescent="0.2">
      <c r="A956" s="2"/>
      <c r="B956" s="1"/>
      <c r="C956" s="1"/>
      <c r="D956" s="1"/>
    </row>
    <row r="957" spans="1:4" x14ac:dyDescent="0.2">
      <c r="A957" s="2"/>
      <c r="B957" s="1"/>
      <c r="C957" s="1"/>
      <c r="D957" s="1"/>
    </row>
    <row r="958" spans="1:4" x14ac:dyDescent="0.2">
      <c r="A958" s="2"/>
      <c r="B958" s="1"/>
      <c r="C958" s="1"/>
      <c r="D958" s="1"/>
    </row>
    <row r="959" spans="1:4" x14ac:dyDescent="0.2">
      <c r="A959" s="2"/>
      <c r="B959" s="1"/>
      <c r="C959" s="1"/>
      <c r="D959" s="1"/>
    </row>
    <row r="960" spans="1:4" x14ac:dyDescent="0.2">
      <c r="A960" s="2"/>
      <c r="B960" s="1"/>
      <c r="C960" s="1"/>
      <c r="D960" s="1"/>
    </row>
    <row r="961" spans="1:4" x14ac:dyDescent="0.2">
      <c r="A961" s="2"/>
      <c r="B961" s="1"/>
      <c r="C961" s="1"/>
      <c r="D961" s="1"/>
    </row>
    <row r="962" spans="1:4" x14ac:dyDescent="0.2">
      <c r="A962" s="2"/>
      <c r="B962" s="1"/>
      <c r="C962" s="1"/>
      <c r="D962" s="1"/>
    </row>
    <row r="963" spans="1:4" x14ac:dyDescent="0.2">
      <c r="A963" s="2"/>
      <c r="B963" s="1"/>
      <c r="C963" s="1"/>
      <c r="D963" s="1"/>
    </row>
    <row r="964" spans="1:4" x14ac:dyDescent="0.2">
      <c r="A964" s="2"/>
      <c r="B964" s="1"/>
      <c r="C964" s="1"/>
      <c r="D964" s="1"/>
    </row>
    <row r="965" spans="1:4" x14ac:dyDescent="0.2">
      <c r="A965" s="2"/>
      <c r="B965" s="1"/>
      <c r="C965" s="1"/>
      <c r="D965" s="1"/>
    </row>
    <row r="966" spans="1:4" x14ac:dyDescent="0.2">
      <c r="A966" s="2"/>
      <c r="B966" s="1"/>
      <c r="C966" s="1"/>
      <c r="D966" s="1"/>
    </row>
    <row r="967" spans="1:4" x14ac:dyDescent="0.2">
      <c r="A967" s="2"/>
      <c r="B967" s="1"/>
      <c r="C967" s="1"/>
      <c r="D967" s="1"/>
    </row>
    <row r="968" spans="1:4" x14ac:dyDescent="0.2">
      <c r="A968" s="2"/>
      <c r="B968" s="1"/>
      <c r="C968" s="1"/>
      <c r="D968" s="1"/>
    </row>
    <row r="969" spans="1:4" x14ac:dyDescent="0.2">
      <c r="A969" s="2"/>
      <c r="B969" s="1"/>
      <c r="C969" s="1"/>
      <c r="D969" s="1"/>
    </row>
    <row r="970" spans="1:4" x14ac:dyDescent="0.2">
      <c r="A970" s="2"/>
      <c r="B970" s="1"/>
      <c r="C970" s="1"/>
      <c r="D970" s="1"/>
    </row>
    <row r="971" spans="1:4" x14ac:dyDescent="0.2">
      <c r="A971" s="2"/>
      <c r="B971" s="1"/>
      <c r="C971" s="1"/>
      <c r="D971" s="1"/>
    </row>
    <row r="972" spans="1:4" x14ac:dyDescent="0.2">
      <c r="A972" s="2"/>
      <c r="B972" s="1"/>
      <c r="C972" s="1"/>
      <c r="D972" s="1"/>
    </row>
    <row r="973" spans="1:4" x14ac:dyDescent="0.2">
      <c r="A973" s="2"/>
      <c r="B973" s="1"/>
      <c r="C973" s="1"/>
      <c r="D973" s="1"/>
    </row>
    <row r="974" spans="1:4" x14ac:dyDescent="0.2">
      <c r="A974" s="2"/>
      <c r="B974" s="1"/>
      <c r="C974" s="1"/>
      <c r="D974" s="1"/>
    </row>
    <row r="975" spans="1:4" x14ac:dyDescent="0.2">
      <c r="A975" s="2"/>
      <c r="B975" s="1"/>
      <c r="C975" s="1"/>
      <c r="D975" s="1"/>
    </row>
    <row r="976" spans="1:4" x14ac:dyDescent="0.2">
      <c r="A976" s="2"/>
      <c r="B976" s="1"/>
      <c r="C976" s="1"/>
      <c r="D976" s="1"/>
    </row>
    <row r="977" spans="1:4" x14ac:dyDescent="0.2">
      <c r="A977" s="2"/>
      <c r="B977" s="1"/>
      <c r="C977" s="1"/>
      <c r="D977" s="1"/>
    </row>
    <row r="978" spans="1:4" x14ac:dyDescent="0.2">
      <c r="A978" s="2"/>
      <c r="B978" s="1"/>
      <c r="C978" s="1"/>
      <c r="D978" s="1"/>
    </row>
    <row r="979" spans="1:4" x14ac:dyDescent="0.2">
      <c r="A979" s="2"/>
      <c r="B979" s="1"/>
      <c r="C979" s="1"/>
      <c r="D979" s="1"/>
    </row>
    <row r="980" spans="1:4" x14ac:dyDescent="0.2">
      <c r="A980" s="2"/>
      <c r="B980" s="1"/>
      <c r="C980" s="1"/>
      <c r="D980" s="1"/>
    </row>
    <row r="981" spans="1:4" x14ac:dyDescent="0.2">
      <c r="A981" s="2"/>
      <c r="B981" s="1"/>
      <c r="C981" s="1"/>
      <c r="D981" s="1"/>
    </row>
    <row r="982" spans="1:4" x14ac:dyDescent="0.2">
      <c r="A982" s="2"/>
      <c r="B982" s="1"/>
      <c r="C982" s="1"/>
      <c r="D982" s="1"/>
    </row>
    <row r="983" spans="1:4" x14ac:dyDescent="0.2">
      <c r="A983" s="2"/>
      <c r="B983" s="1"/>
      <c r="C983" s="1"/>
      <c r="D983" s="1"/>
    </row>
    <row r="984" spans="1:4" x14ac:dyDescent="0.2">
      <c r="A984" s="2"/>
      <c r="B984" s="1"/>
      <c r="C984" s="1"/>
      <c r="D984" s="1"/>
    </row>
    <row r="985" spans="1:4" x14ac:dyDescent="0.2">
      <c r="A985" s="2"/>
      <c r="B985" s="1"/>
      <c r="C985" s="1"/>
      <c r="D985" s="1"/>
    </row>
    <row r="986" spans="1:4" x14ac:dyDescent="0.2">
      <c r="A986" s="2"/>
      <c r="B986" s="1"/>
      <c r="C986" s="1"/>
      <c r="D986" s="1"/>
    </row>
    <row r="987" spans="1:4" x14ac:dyDescent="0.2">
      <c r="A987" s="2"/>
      <c r="B987" s="1"/>
      <c r="C987" s="1"/>
      <c r="D987" s="1"/>
    </row>
    <row r="988" spans="1:4" x14ac:dyDescent="0.2">
      <c r="A988" s="2"/>
      <c r="B988" s="1"/>
      <c r="C988" s="1"/>
      <c r="D988" s="1"/>
    </row>
    <row r="989" spans="1:4" x14ac:dyDescent="0.2">
      <c r="A989" s="2"/>
      <c r="B989" s="1"/>
      <c r="C989" s="1"/>
      <c r="D989" s="1"/>
    </row>
    <row r="990" spans="1:4" x14ac:dyDescent="0.2">
      <c r="A990" s="2"/>
      <c r="B990" s="1"/>
      <c r="C990" s="1"/>
      <c r="D990" s="1"/>
    </row>
    <row r="991" spans="1:4" x14ac:dyDescent="0.2">
      <c r="A991" s="2"/>
      <c r="B991" s="1"/>
      <c r="C991" s="1"/>
      <c r="D991" s="1"/>
    </row>
    <row r="992" spans="1:4" x14ac:dyDescent="0.2">
      <c r="A992" s="2"/>
      <c r="B992" s="1"/>
      <c r="C992" s="1"/>
      <c r="D992" s="1"/>
    </row>
    <row r="993" spans="1:4" x14ac:dyDescent="0.2">
      <c r="A993" s="2"/>
      <c r="B993" s="1"/>
      <c r="C993" s="1"/>
      <c r="D993" s="1"/>
    </row>
    <row r="994" spans="1:4" x14ac:dyDescent="0.2">
      <c r="A994" s="2"/>
      <c r="B994" s="1"/>
      <c r="C994" s="1"/>
      <c r="D994" s="1"/>
    </row>
    <row r="995" spans="1:4" x14ac:dyDescent="0.2">
      <c r="A995" s="2"/>
      <c r="B995" s="1"/>
      <c r="C995" s="1"/>
      <c r="D995" s="1"/>
    </row>
    <row r="996" spans="1:4" x14ac:dyDescent="0.2">
      <c r="A996" s="2"/>
      <c r="B996" s="1"/>
      <c r="C996" s="1"/>
      <c r="D996" s="1"/>
    </row>
    <row r="997" spans="1:4" x14ac:dyDescent="0.2">
      <c r="A997" s="2"/>
      <c r="B997" s="1"/>
      <c r="C997" s="1"/>
      <c r="D997" s="1"/>
    </row>
    <row r="998" spans="1:4" x14ac:dyDescent="0.2">
      <c r="A998" s="2"/>
      <c r="B998" s="1"/>
      <c r="C998" s="1"/>
      <c r="D998" s="1"/>
    </row>
    <row r="999" spans="1:4" x14ac:dyDescent="0.2">
      <c r="A999" s="2"/>
      <c r="B999" s="1"/>
      <c r="C999" s="1"/>
      <c r="D999" s="1"/>
    </row>
    <row r="1000" spans="1:4" x14ac:dyDescent="0.2">
      <c r="A1000" s="2"/>
      <c r="B1000" s="1"/>
      <c r="C1000" s="1"/>
      <c r="D1000" s="1"/>
    </row>
    <row r="1001" spans="1:4" x14ac:dyDescent="0.2">
      <c r="A1001" s="2"/>
      <c r="B1001" s="1"/>
      <c r="C1001" s="1"/>
      <c r="D1001" s="1"/>
    </row>
    <row r="1002" spans="1:4" x14ac:dyDescent="0.2">
      <c r="A1002" s="2"/>
      <c r="B1002" s="1"/>
      <c r="C1002" s="1"/>
      <c r="D1002" s="1"/>
    </row>
    <row r="1003" spans="1:4" x14ac:dyDescent="0.2">
      <c r="A1003" s="2"/>
      <c r="B1003" s="1"/>
      <c r="C1003" s="1"/>
      <c r="D1003" s="1"/>
    </row>
    <row r="1004" spans="1:4" x14ac:dyDescent="0.2">
      <c r="A1004" s="2"/>
      <c r="B1004" s="1"/>
      <c r="C1004" s="1"/>
      <c r="D1004" s="1"/>
    </row>
    <row r="1005" spans="1:4" x14ac:dyDescent="0.2">
      <c r="A1005" s="2"/>
      <c r="B1005" s="1"/>
      <c r="C1005" s="1"/>
      <c r="D1005" s="1"/>
    </row>
    <row r="1006" spans="1:4" x14ac:dyDescent="0.2">
      <c r="A1006" s="2"/>
      <c r="B1006" s="1"/>
      <c r="C1006" s="1"/>
      <c r="D1006" s="1"/>
    </row>
    <row r="1007" spans="1:4" x14ac:dyDescent="0.2">
      <c r="A1007" s="2"/>
      <c r="B1007" s="1"/>
      <c r="C1007" s="1"/>
      <c r="D1007" s="1"/>
    </row>
    <row r="1008" spans="1:4" x14ac:dyDescent="0.2">
      <c r="A1008" s="2"/>
      <c r="B1008" s="1"/>
      <c r="C1008" s="1"/>
      <c r="D1008" s="1"/>
    </row>
    <row r="1009" spans="1:4" x14ac:dyDescent="0.2">
      <c r="A1009" s="2"/>
      <c r="B1009" s="1"/>
      <c r="C1009" s="1"/>
      <c r="D1009" s="1"/>
    </row>
    <row r="1010" spans="1:4" x14ac:dyDescent="0.2">
      <c r="A1010" s="2"/>
      <c r="B1010" s="1"/>
      <c r="C1010" s="1"/>
      <c r="D1010" s="1"/>
    </row>
    <row r="1011" spans="1:4" x14ac:dyDescent="0.2">
      <c r="A1011" s="2"/>
      <c r="B1011" s="1"/>
      <c r="C1011" s="1"/>
      <c r="D1011" s="1"/>
    </row>
    <row r="1012" spans="1:4" x14ac:dyDescent="0.2">
      <c r="A1012" s="2"/>
      <c r="B1012" s="1"/>
      <c r="C1012" s="1"/>
      <c r="D1012" s="1"/>
    </row>
    <row r="1013" spans="1:4" x14ac:dyDescent="0.2">
      <c r="A1013" s="2"/>
      <c r="B1013" s="1"/>
      <c r="C1013" s="1"/>
      <c r="D1013" s="1"/>
    </row>
    <row r="1014" spans="1:4" x14ac:dyDescent="0.2">
      <c r="A1014" s="2"/>
      <c r="B1014" s="1"/>
      <c r="C1014" s="1"/>
      <c r="D1014" s="1"/>
    </row>
    <row r="1015" spans="1:4" x14ac:dyDescent="0.2">
      <c r="A1015" s="2"/>
      <c r="B1015" s="1"/>
      <c r="C1015" s="1"/>
      <c r="D1015" s="1"/>
    </row>
    <row r="1016" spans="1:4" x14ac:dyDescent="0.2">
      <c r="A1016" s="2"/>
      <c r="B1016" s="1"/>
      <c r="C1016" s="1"/>
      <c r="D1016" s="1"/>
    </row>
    <row r="1017" spans="1:4" x14ac:dyDescent="0.2">
      <c r="A1017" s="2"/>
      <c r="B1017" s="1"/>
      <c r="C1017" s="1"/>
      <c r="D1017" s="1"/>
    </row>
    <row r="1018" spans="1:4" x14ac:dyDescent="0.2">
      <c r="A1018" s="2"/>
      <c r="B1018" s="1"/>
      <c r="C1018" s="1"/>
      <c r="D1018" s="1"/>
    </row>
    <row r="1019" spans="1:4" x14ac:dyDescent="0.2">
      <c r="A1019" s="2"/>
      <c r="B1019" s="1"/>
      <c r="C1019" s="1"/>
      <c r="D1019" s="1"/>
    </row>
    <row r="1020" spans="1:4" x14ac:dyDescent="0.2">
      <c r="A1020" s="2"/>
      <c r="B1020" s="1"/>
      <c r="C1020" s="1"/>
      <c r="D1020" s="1"/>
    </row>
    <row r="1021" spans="1:4" x14ac:dyDescent="0.2">
      <c r="A1021" s="2"/>
      <c r="B1021" s="1"/>
      <c r="C1021" s="1"/>
      <c r="D1021" s="1"/>
    </row>
    <row r="1022" spans="1:4" x14ac:dyDescent="0.2">
      <c r="A1022" s="2"/>
      <c r="B1022" s="1"/>
      <c r="C1022" s="1"/>
      <c r="D1022" s="1"/>
    </row>
    <row r="1023" spans="1:4" x14ac:dyDescent="0.2">
      <c r="A1023" s="2"/>
      <c r="B1023" s="1"/>
      <c r="C1023" s="1"/>
      <c r="D1023" s="1"/>
    </row>
    <row r="1024" spans="1:4" x14ac:dyDescent="0.2">
      <c r="A1024" s="2"/>
      <c r="B1024" s="1"/>
      <c r="C1024" s="1"/>
      <c r="D1024" s="1"/>
    </row>
    <row r="1025" spans="1:4" x14ac:dyDescent="0.2">
      <c r="A1025" s="2"/>
      <c r="B1025" s="1"/>
      <c r="C1025" s="1"/>
      <c r="D1025" s="1"/>
    </row>
    <row r="1026" spans="1:4" x14ac:dyDescent="0.2">
      <c r="A1026" s="2"/>
      <c r="B1026" s="1"/>
      <c r="C1026" s="1"/>
      <c r="D1026" s="1"/>
    </row>
    <row r="1027" spans="1:4" x14ac:dyDescent="0.2">
      <c r="A1027" s="2"/>
      <c r="B1027" s="1"/>
      <c r="C1027" s="1"/>
      <c r="D1027" s="1"/>
    </row>
    <row r="1028" spans="1:4" x14ac:dyDescent="0.2">
      <c r="A1028" s="2"/>
      <c r="B1028" s="1"/>
      <c r="C1028" s="1"/>
      <c r="D1028" s="1"/>
    </row>
    <row r="1029" spans="1:4" x14ac:dyDescent="0.2">
      <c r="A1029" s="2"/>
      <c r="B1029" s="1"/>
      <c r="C1029" s="1"/>
      <c r="D1029" s="1"/>
    </row>
    <row r="1030" spans="1:4" x14ac:dyDescent="0.2">
      <c r="A1030" s="2"/>
      <c r="B1030" s="1"/>
      <c r="C1030" s="1"/>
      <c r="D1030" s="1"/>
    </row>
    <row r="1031" spans="1:4" x14ac:dyDescent="0.2">
      <c r="A1031" s="2"/>
      <c r="B1031" s="1"/>
      <c r="C1031" s="1"/>
      <c r="D1031" s="1"/>
    </row>
    <row r="1032" spans="1:4" x14ac:dyDescent="0.2">
      <c r="A1032" s="2"/>
      <c r="B1032" s="1"/>
      <c r="C1032" s="1"/>
      <c r="D1032" s="1"/>
    </row>
    <row r="1033" spans="1:4" x14ac:dyDescent="0.2">
      <c r="A1033" s="2"/>
      <c r="B1033" s="1"/>
      <c r="C1033" s="1"/>
      <c r="D1033" s="1"/>
    </row>
    <row r="1034" spans="1:4" x14ac:dyDescent="0.2">
      <c r="A1034" s="2"/>
      <c r="B1034" s="1"/>
      <c r="C1034" s="1"/>
      <c r="D1034" s="1"/>
    </row>
    <row r="1035" spans="1:4" x14ac:dyDescent="0.2">
      <c r="A1035" s="2"/>
      <c r="B1035" s="1"/>
      <c r="C1035" s="1"/>
      <c r="D1035" s="1"/>
    </row>
    <row r="1036" spans="1:4" x14ac:dyDescent="0.2">
      <c r="A1036" s="2"/>
      <c r="B1036" s="1"/>
      <c r="C1036" s="1"/>
      <c r="D1036" s="1"/>
    </row>
    <row r="1037" spans="1:4" x14ac:dyDescent="0.2">
      <c r="A1037" s="2"/>
      <c r="B1037" s="1"/>
      <c r="C1037" s="1"/>
      <c r="D1037" s="1"/>
    </row>
    <row r="1038" spans="1:4" x14ac:dyDescent="0.2">
      <c r="A1038" s="2"/>
      <c r="B1038" s="1"/>
      <c r="C1038" s="1"/>
      <c r="D1038" s="1"/>
    </row>
    <row r="1039" spans="1:4" x14ac:dyDescent="0.2">
      <c r="A1039" s="2"/>
      <c r="B1039" s="1"/>
      <c r="C1039" s="1"/>
      <c r="D1039" s="1"/>
    </row>
    <row r="1040" spans="1:4" x14ac:dyDescent="0.2">
      <c r="A1040" s="2"/>
      <c r="B1040" s="1"/>
      <c r="C1040" s="1"/>
      <c r="D1040" s="1"/>
    </row>
    <row r="1041" spans="1:4" x14ac:dyDescent="0.2">
      <c r="A1041" s="2"/>
      <c r="B1041" s="1"/>
      <c r="C1041" s="1"/>
      <c r="D1041" s="1"/>
    </row>
    <row r="1042" spans="1:4" x14ac:dyDescent="0.2">
      <c r="A1042" s="2"/>
      <c r="B1042" s="1"/>
      <c r="C1042" s="1"/>
      <c r="D1042" s="1"/>
    </row>
    <row r="1043" spans="1:4" x14ac:dyDescent="0.2">
      <c r="A1043" s="2"/>
      <c r="B1043" s="1"/>
      <c r="C1043" s="1"/>
      <c r="D1043" s="1"/>
    </row>
    <row r="1044" spans="1:4" x14ac:dyDescent="0.2">
      <c r="A1044" s="2"/>
      <c r="B1044" s="1"/>
      <c r="C1044" s="1"/>
      <c r="D1044" s="1"/>
    </row>
    <row r="1045" spans="1:4" x14ac:dyDescent="0.2">
      <c r="A1045" s="2"/>
      <c r="B1045" s="1"/>
      <c r="C1045" s="1"/>
      <c r="D1045" s="1"/>
    </row>
    <row r="1046" spans="1:4" x14ac:dyDescent="0.2">
      <c r="A1046" s="2"/>
      <c r="B1046" s="1"/>
      <c r="C1046" s="1"/>
      <c r="D1046" s="1"/>
    </row>
    <row r="1047" spans="1:4" x14ac:dyDescent="0.2">
      <c r="A1047" s="2"/>
      <c r="B1047" s="1"/>
      <c r="C1047" s="1"/>
      <c r="D1047" s="1"/>
    </row>
    <row r="1048" spans="1:4" x14ac:dyDescent="0.2">
      <c r="A1048" s="2"/>
      <c r="B1048" s="1"/>
      <c r="C1048" s="1"/>
      <c r="D1048" s="1"/>
    </row>
    <row r="1049" spans="1:4" x14ac:dyDescent="0.2">
      <c r="A1049" s="2"/>
      <c r="B1049" s="1"/>
      <c r="C1049" s="1"/>
      <c r="D1049" s="1"/>
    </row>
    <row r="1050" spans="1:4" x14ac:dyDescent="0.2">
      <c r="A1050" s="2"/>
      <c r="B1050" s="1"/>
      <c r="C1050" s="1"/>
      <c r="D1050" s="1"/>
    </row>
    <row r="1051" spans="1:4" x14ac:dyDescent="0.2">
      <c r="A1051" s="2"/>
      <c r="B1051" s="1"/>
      <c r="C1051" s="1"/>
      <c r="D1051" s="1"/>
    </row>
    <row r="1052" spans="1:4" x14ac:dyDescent="0.2">
      <c r="A1052" s="2"/>
      <c r="B1052" s="1"/>
      <c r="C1052" s="1"/>
      <c r="D1052" s="1"/>
    </row>
    <row r="1053" spans="1:4" x14ac:dyDescent="0.2">
      <c r="A1053" s="2"/>
      <c r="B1053" s="1"/>
      <c r="C1053" s="1"/>
      <c r="D1053" s="1"/>
    </row>
    <row r="1054" spans="1:4" x14ac:dyDescent="0.2">
      <c r="A1054" s="2"/>
      <c r="B1054" s="1"/>
      <c r="C1054" s="1"/>
      <c r="D1054" s="1"/>
    </row>
    <row r="1055" spans="1:4" x14ac:dyDescent="0.2">
      <c r="A1055" s="2"/>
      <c r="B1055" s="1"/>
      <c r="C1055" s="1"/>
      <c r="D1055" s="1"/>
    </row>
    <row r="1056" spans="1:4" x14ac:dyDescent="0.2">
      <c r="A1056" s="2"/>
      <c r="B1056" s="1"/>
      <c r="C1056" s="1"/>
      <c r="D1056" s="1"/>
    </row>
    <row r="1057" spans="1:4" x14ac:dyDescent="0.2">
      <c r="A1057" s="2"/>
      <c r="B1057" s="1"/>
      <c r="C1057" s="1"/>
      <c r="D1057" s="1"/>
    </row>
    <row r="1058" spans="1:4" x14ac:dyDescent="0.2">
      <c r="A1058" s="2"/>
      <c r="B1058" s="1"/>
      <c r="C1058" s="1"/>
      <c r="D1058" s="1"/>
    </row>
    <row r="1059" spans="1:4" x14ac:dyDescent="0.2">
      <c r="A1059" s="2"/>
      <c r="B1059" s="1"/>
      <c r="C1059" s="1"/>
      <c r="D1059" s="1"/>
    </row>
    <row r="1060" spans="1:4" x14ac:dyDescent="0.2">
      <c r="A1060" s="2"/>
      <c r="B1060" s="1"/>
      <c r="C1060" s="1"/>
      <c r="D1060" s="1"/>
    </row>
    <row r="1061" spans="1:4" x14ac:dyDescent="0.2">
      <c r="A1061" s="2"/>
      <c r="B1061" s="1"/>
      <c r="C1061" s="1"/>
      <c r="D1061" s="1"/>
    </row>
    <row r="1062" spans="1:4" x14ac:dyDescent="0.2">
      <c r="A1062" s="2"/>
      <c r="B1062" s="1"/>
      <c r="C1062" s="1"/>
      <c r="D1062" s="1"/>
    </row>
    <row r="1063" spans="1:4" x14ac:dyDescent="0.2">
      <c r="A1063" s="2"/>
      <c r="B1063" s="1"/>
      <c r="C1063" s="1"/>
      <c r="D1063" s="1"/>
    </row>
    <row r="1064" spans="1:4" x14ac:dyDescent="0.2">
      <c r="A1064" s="2"/>
      <c r="B1064" s="1"/>
      <c r="C1064" s="1"/>
      <c r="D1064" s="1"/>
    </row>
    <row r="1065" spans="1:4" x14ac:dyDescent="0.2">
      <c r="A1065" s="2"/>
      <c r="B1065" s="1"/>
      <c r="C1065" s="1"/>
      <c r="D1065" s="1"/>
    </row>
    <row r="1066" spans="1:4" x14ac:dyDescent="0.2">
      <c r="A1066" s="2"/>
      <c r="B1066" s="1"/>
      <c r="C1066" s="1"/>
      <c r="D1066" s="1"/>
    </row>
    <row r="1067" spans="1:4" x14ac:dyDescent="0.2">
      <c r="A1067" s="2"/>
      <c r="B1067" s="1"/>
      <c r="C1067" s="1"/>
      <c r="D1067" s="1"/>
    </row>
    <row r="1068" spans="1:4" x14ac:dyDescent="0.2">
      <c r="A1068" s="2"/>
      <c r="B1068" s="1"/>
      <c r="C1068" s="1"/>
      <c r="D1068" s="1"/>
    </row>
    <row r="1069" spans="1:4" x14ac:dyDescent="0.2">
      <c r="A1069" s="2"/>
      <c r="B1069" s="1"/>
      <c r="C1069" s="1"/>
      <c r="D1069" s="1"/>
    </row>
    <row r="1070" spans="1:4" x14ac:dyDescent="0.2">
      <c r="A1070" s="2"/>
      <c r="B1070" s="1"/>
      <c r="C1070" s="1"/>
      <c r="D1070" s="1"/>
    </row>
    <row r="1071" spans="1:4" x14ac:dyDescent="0.2">
      <c r="A1071" s="2"/>
      <c r="B1071" s="1"/>
      <c r="C1071" s="1"/>
      <c r="D1071" s="1"/>
    </row>
    <row r="1072" spans="1:4" x14ac:dyDescent="0.2">
      <c r="A1072" s="2"/>
      <c r="B1072" s="1"/>
      <c r="C1072" s="1"/>
      <c r="D1072" s="1"/>
    </row>
    <row r="1073" spans="1:4" x14ac:dyDescent="0.2">
      <c r="A1073" s="2"/>
      <c r="B1073" s="1"/>
      <c r="C1073" s="1"/>
      <c r="D1073" s="1"/>
    </row>
    <row r="1074" spans="1:4" x14ac:dyDescent="0.2">
      <c r="A1074" s="2"/>
      <c r="B1074" s="1"/>
      <c r="C1074" s="1"/>
      <c r="D1074" s="1"/>
    </row>
    <row r="1075" spans="1:4" x14ac:dyDescent="0.2">
      <c r="A1075" s="2"/>
      <c r="B1075" s="1"/>
      <c r="C1075" s="1"/>
      <c r="D1075" s="1"/>
    </row>
    <row r="1076" spans="1:4" x14ac:dyDescent="0.2">
      <c r="A1076" s="2"/>
      <c r="B1076" s="1"/>
      <c r="C1076" s="1"/>
      <c r="D1076" s="1"/>
    </row>
    <row r="1077" spans="1:4" x14ac:dyDescent="0.2">
      <c r="A1077" s="2"/>
      <c r="B1077" s="1"/>
      <c r="C1077" s="1"/>
      <c r="D1077" s="1"/>
    </row>
    <row r="1078" spans="1:4" x14ac:dyDescent="0.2">
      <c r="A1078" s="2"/>
      <c r="B1078" s="1"/>
      <c r="C1078" s="1"/>
      <c r="D1078" s="1"/>
    </row>
    <row r="1079" spans="1:4" x14ac:dyDescent="0.2">
      <c r="A1079" s="2"/>
      <c r="B1079" s="1"/>
      <c r="C1079" s="1"/>
      <c r="D1079" s="1"/>
    </row>
    <row r="1080" spans="1:4" x14ac:dyDescent="0.2">
      <c r="A1080" s="2"/>
      <c r="B1080" s="1"/>
      <c r="C1080" s="1"/>
      <c r="D1080" s="1"/>
    </row>
    <row r="1081" spans="1:4" x14ac:dyDescent="0.2">
      <c r="A1081" s="2"/>
      <c r="B1081" s="1"/>
      <c r="C1081" s="1"/>
      <c r="D1081" s="1"/>
    </row>
    <row r="1082" spans="1:4" x14ac:dyDescent="0.2">
      <c r="A1082" s="2"/>
      <c r="B1082" s="1"/>
      <c r="C1082" s="1"/>
      <c r="D1082" s="1"/>
    </row>
    <row r="1083" spans="1:4" x14ac:dyDescent="0.2">
      <c r="A1083" s="2"/>
      <c r="B1083" s="1"/>
      <c r="C1083" s="1"/>
      <c r="D1083" s="1"/>
    </row>
    <row r="1084" spans="1:4" x14ac:dyDescent="0.2">
      <c r="A1084" s="2"/>
      <c r="B1084" s="1"/>
      <c r="C1084" s="1"/>
      <c r="D1084" s="1"/>
    </row>
    <row r="1085" spans="1:4" x14ac:dyDescent="0.2">
      <c r="A1085" s="2"/>
      <c r="B1085" s="1"/>
      <c r="C1085" s="1"/>
      <c r="D1085" s="1"/>
    </row>
    <row r="1086" spans="1:4" x14ac:dyDescent="0.2">
      <c r="A1086" s="2"/>
      <c r="B1086" s="1"/>
      <c r="C1086" s="1"/>
      <c r="D1086" s="1"/>
    </row>
    <row r="1087" spans="1:4" x14ac:dyDescent="0.2">
      <c r="A1087" s="2"/>
      <c r="B1087" s="1"/>
      <c r="C1087" s="1"/>
      <c r="D1087" s="1"/>
    </row>
    <row r="1088" spans="1:4" x14ac:dyDescent="0.2">
      <c r="A1088" s="2"/>
      <c r="B1088" s="1"/>
      <c r="C1088" s="1"/>
      <c r="D1088" s="1"/>
    </row>
    <row r="1089" spans="1:4" x14ac:dyDescent="0.2">
      <c r="A1089" s="2"/>
      <c r="B1089" s="1"/>
      <c r="C1089" s="1"/>
      <c r="D1089" s="1"/>
    </row>
    <row r="1090" spans="1:4" x14ac:dyDescent="0.2">
      <c r="A1090" s="2"/>
      <c r="B1090" s="1"/>
      <c r="C1090" s="1"/>
      <c r="D1090" s="1"/>
    </row>
    <row r="1091" spans="1:4" x14ac:dyDescent="0.2">
      <c r="A1091" s="2"/>
      <c r="B1091" s="1"/>
      <c r="C1091" s="1"/>
      <c r="D1091" s="1"/>
    </row>
    <row r="1092" spans="1:4" x14ac:dyDescent="0.2">
      <c r="A1092" s="2"/>
      <c r="B1092" s="1"/>
      <c r="C1092" s="1"/>
      <c r="D1092" s="1"/>
    </row>
    <row r="1093" spans="1:4" x14ac:dyDescent="0.2">
      <c r="A1093" s="2"/>
      <c r="B1093" s="1"/>
      <c r="C1093" s="1"/>
      <c r="D1093" s="1"/>
    </row>
    <row r="1094" spans="1:4" x14ac:dyDescent="0.2">
      <c r="A1094" s="2"/>
      <c r="B1094" s="1"/>
      <c r="C1094" s="1"/>
      <c r="D1094" s="1"/>
    </row>
    <row r="1095" spans="1:4" x14ac:dyDescent="0.2">
      <c r="A1095" s="2"/>
      <c r="B1095" s="1"/>
      <c r="C1095" s="1"/>
      <c r="D1095" s="1"/>
    </row>
    <row r="1096" spans="1:4" x14ac:dyDescent="0.2">
      <c r="A1096" s="2"/>
      <c r="B1096" s="1"/>
      <c r="C1096" s="1"/>
      <c r="D1096" s="1"/>
    </row>
    <row r="1097" spans="1:4" x14ac:dyDescent="0.2">
      <c r="A1097" s="2"/>
      <c r="B1097" s="1"/>
      <c r="C1097" s="1"/>
      <c r="D1097" s="1"/>
    </row>
    <row r="1098" spans="1:4" x14ac:dyDescent="0.2">
      <c r="A1098" s="2"/>
      <c r="B1098" s="1"/>
      <c r="C1098" s="1"/>
      <c r="D1098" s="1"/>
    </row>
    <row r="1099" spans="1:4" x14ac:dyDescent="0.2">
      <c r="A1099" s="2"/>
      <c r="B1099" s="1"/>
      <c r="C1099" s="1"/>
      <c r="D1099" s="1"/>
    </row>
    <row r="1100" spans="1:4" x14ac:dyDescent="0.2">
      <c r="A1100" s="2"/>
      <c r="B1100" s="1"/>
      <c r="C1100" s="1"/>
      <c r="D1100" s="1"/>
    </row>
    <row r="1101" spans="1:4" x14ac:dyDescent="0.2">
      <c r="A1101" s="2"/>
      <c r="B1101" s="1"/>
      <c r="C1101" s="1"/>
      <c r="D1101" s="1"/>
    </row>
    <row r="1102" spans="1:4" x14ac:dyDescent="0.2">
      <c r="A1102" s="2"/>
      <c r="B1102" s="1"/>
      <c r="C1102" s="1"/>
      <c r="D1102" s="1"/>
    </row>
    <row r="1103" spans="1:4" x14ac:dyDescent="0.2">
      <c r="A1103" s="2"/>
      <c r="B1103" s="1"/>
      <c r="C1103" s="1"/>
      <c r="D1103" s="1"/>
    </row>
    <row r="1104" spans="1:4" x14ac:dyDescent="0.2">
      <c r="A1104" s="2"/>
      <c r="B1104" s="1"/>
      <c r="C1104" s="1"/>
      <c r="D1104" s="1"/>
    </row>
    <row r="1105" spans="1:4" x14ac:dyDescent="0.2">
      <c r="A1105" s="2"/>
      <c r="B1105" s="1"/>
      <c r="C1105" s="1"/>
      <c r="D1105" s="1"/>
    </row>
    <row r="1106" spans="1:4" x14ac:dyDescent="0.2">
      <c r="A1106" s="2"/>
      <c r="B1106" s="1"/>
      <c r="C1106" s="1"/>
      <c r="D1106" s="1"/>
    </row>
    <row r="1107" spans="1:4" x14ac:dyDescent="0.2">
      <c r="A1107" s="2"/>
      <c r="B1107" s="1"/>
      <c r="C1107" s="1"/>
      <c r="D1107" s="1"/>
    </row>
    <row r="1108" spans="1:4" x14ac:dyDescent="0.2">
      <c r="A1108" s="2"/>
      <c r="B1108" s="1"/>
      <c r="C1108" s="1"/>
      <c r="D1108" s="1"/>
    </row>
    <row r="1109" spans="1:4" x14ac:dyDescent="0.2">
      <c r="A1109" s="2"/>
      <c r="B1109" s="1"/>
      <c r="C1109" s="1"/>
      <c r="D1109" s="1"/>
    </row>
    <row r="1110" spans="1:4" x14ac:dyDescent="0.2">
      <c r="A1110" s="2"/>
      <c r="B1110" s="1"/>
      <c r="C1110" s="1"/>
      <c r="D1110" s="1"/>
    </row>
    <row r="1111" spans="1:4" x14ac:dyDescent="0.2">
      <c r="A1111" s="2"/>
      <c r="B1111" s="1"/>
      <c r="C1111" s="1"/>
      <c r="D1111" s="1"/>
    </row>
    <row r="1112" spans="1:4" x14ac:dyDescent="0.2">
      <c r="A1112" s="2"/>
      <c r="B1112" s="1"/>
      <c r="C1112" s="1"/>
      <c r="D1112" s="1"/>
    </row>
    <row r="1113" spans="1:4" x14ac:dyDescent="0.2">
      <c r="A1113" s="2"/>
      <c r="B1113" s="1"/>
      <c r="C1113" s="1"/>
      <c r="D1113" s="1"/>
    </row>
    <row r="1114" spans="1:4" x14ac:dyDescent="0.2">
      <c r="A1114" s="2"/>
      <c r="B1114" s="1"/>
      <c r="C1114" s="1"/>
      <c r="D1114" s="1"/>
    </row>
    <row r="1115" spans="1:4" x14ac:dyDescent="0.2">
      <c r="A1115" s="2"/>
      <c r="B1115" s="1"/>
      <c r="C1115" s="1"/>
      <c r="D1115" s="1"/>
    </row>
    <row r="1116" spans="1:4" x14ac:dyDescent="0.2">
      <c r="A1116" s="2"/>
      <c r="B1116" s="1"/>
      <c r="C1116" s="1"/>
      <c r="D1116" s="1"/>
    </row>
    <row r="1117" spans="1:4" x14ac:dyDescent="0.2">
      <c r="A1117" s="2"/>
      <c r="B1117" s="1"/>
      <c r="C1117" s="1"/>
      <c r="D1117" s="1"/>
    </row>
    <row r="1118" spans="1:4" x14ac:dyDescent="0.2">
      <c r="A1118" s="2"/>
      <c r="B1118" s="1"/>
      <c r="C1118" s="1"/>
      <c r="D1118" s="1"/>
    </row>
    <row r="1119" spans="1:4" x14ac:dyDescent="0.2">
      <c r="A1119" s="2"/>
      <c r="B1119" s="1"/>
      <c r="C1119" s="1"/>
      <c r="D1119" s="1"/>
    </row>
    <row r="1120" spans="1:4" x14ac:dyDescent="0.2">
      <c r="A1120" s="2"/>
      <c r="B1120" s="1"/>
      <c r="C1120" s="1"/>
      <c r="D1120" s="1"/>
    </row>
    <row r="1121" spans="1:4" x14ac:dyDescent="0.2">
      <c r="A1121" s="2"/>
      <c r="B1121" s="1"/>
      <c r="C1121" s="1"/>
      <c r="D1121" s="1"/>
    </row>
    <row r="1122" spans="1:4" x14ac:dyDescent="0.2">
      <c r="A1122" s="2"/>
      <c r="B1122" s="1"/>
      <c r="C1122" s="1"/>
      <c r="D1122" s="1"/>
    </row>
    <row r="1123" spans="1:4" x14ac:dyDescent="0.2">
      <c r="A1123" s="2"/>
      <c r="B1123" s="1"/>
      <c r="C1123" s="1"/>
      <c r="D1123" s="1"/>
    </row>
    <row r="1124" spans="1:4" x14ac:dyDescent="0.2">
      <c r="A1124" s="2"/>
      <c r="B1124" s="1"/>
      <c r="C1124" s="1"/>
      <c r="D1124" s="1"/>
    </row>
    <row r="1125" spans="1:4" x14ac:dyDescent="0.2">
      <c r="A1125" s="2"/>
      <c r="B1125" s="1"/>
      <c r="C1125" s="1"/>
      <c r="D1125" s="1"/>
    </row>
    <row r="1126" spans="1:4" x14ac:dyDescent="0.2">
      <c r="A1126" s="2"/>
      <c r="B1126" s="1"/>
      <c r="C1126" s="1"/>
      <c r="D1126" s="1"/>
    </row>
    <row r="1127" spans="1:4" x14ac:dyDescent="0.2">
      <c r="A1127" s="2"/>
      <c r="B1127" s="1"/>
      <c r="C1127" s="1"/>
      <c r="D1127" s="1"/>
    </row>
    <row r="1128" spans="1:4" x14ac:dyDescent="0.2">
      <c r="A1128" s="2"/>
      <c r="B1128" s="1"/>
      <c r="C1128" s="1"/>
      <c r="D1128" s="1"/>
    </row>
    <row r="1129" spans="1:4" x14ac:dyDescent="0.2">
      <c r="A1129" s="2"/>
      <c r="B1129" s="1"/>
      <c r="C1129" s="1"/>
      <c r="D1129" s="1"/>
    </row>
    <row r="1130" spans="1:4" x14ac:dyDescent="0.2">
      <c r="A1130" s="2"/>
      <c r="B1130" s="1"/>
      <c r="C1130" s="1"/>
      <c r="D1130" s="1"/>
    </row>
    <row r="1131" spans="1:4" x14ac:dyDescent="0.2">
      <c r="A1131" s="2"/>
      <c r="B1131" s="1"/>
      <c r="C1131" s="1"/>
      <c r="D1131" s="1"/>
    </row>
    <row r="1132" spans="1:4" x14ac:dyDescent="0.2">
      <c r="A1132" s="2"/>
      <c r="B1132" s="1"/>
      <c r="C1132" s="1"/>
      <c r="D1132" s="1"/>
    </row>
    <row r="1133" spans="1:4" x14ac:dyDescent="0.2">
      <c r="A1133" s="2"/>
      <c r="B1133" s="1"/>
      <c r="C1133" s="1"/>
      <c r="D1133" s="1"/>
    </row>
    <row r="1134" spans="1:4" x14ac:dyDescent="0.2">
      <c r="A1134" s="2"/>
      <c r="B1134" s="1"/>
      <c r="C1134" s="1"/>
      <c r="D1134" s="1"/>
    </row>
    <row r="1135" spans="1:4" x14ac:dyDescent="0.2">
      <c r="A1135" s="2"/>
      <c r="B1135" s="1"/>
      <c r="C1135" s="1"/>
      <c r="D1135" s="1"/>
    </row>
    <row r="1136" spans="1:4" x14ac:dyDescent="0.2">
      <c r="A1136" s="2"/>
      <c r="B1136" s="1"/>
      <c r="C1136" s="1"/>
      <c r="D1136" s="1"/>
    </row>
    <row r="1137" spans="1:4" x14ac:dyDescent="0.2">
      <c r="A1137" s="2"/>
      <c r="B1137" s="1"/>
      <c r="C1137" s="1"/>
      <c r="D1137" s="1"/>
    </row>
    <row r="1138" spans="1:4" x14ac:dyDescent="0.2">
      <c r="A1138" s="2"/>
      <c r="B1138" s="1"/>
      <c r="C1138" s="1"/>
      <c r="D1138" s="1"/>
    </row>
    <row r="1139" spans="1:4" x14ac:dyDescent="0.2">
      <c r="A1139" s="2"/>
      <c r="B1139" s="1"/>
      <c r="C1139" s="1"/>
      <c r="D1139" s="1"/>
    </row>
    <row r="1140" spans="1:4" x14ac:dyDescent="0.2">
      <c r="A1140" s="2"/>
      <c r="B1140" s="1"/>
      <c r="C1140" s="1"/>
      <c r="D1140" s="1"/>
    </row>
    <row r="1141" spans="1:4" x14ac:dyDescent="0.2">
      <c r="A1141" s="2"/>
      <c r="B1141" s="1"/>
      <c r="C1141" s="1"/>
      <c r="D1141" s="1"/>
    </row>
    <row r="1142" spans="1:4" x14ac:dyDescent="0.2">
      <c r="A1142" s="2"/>
      <c r="B1142" s="1"/>
      <c r="C1142" s="1"/>
      <c r="D1142" s="1"/>
    </row>
    <row r="1143" spans="1:4" x14ac:dyDescent="0.2">
      <c r="A1143" s="2"/>
      <c r="B1143" s="1"/>
      <c r="C1143" s="1"/>
      <c r="D1143" s="1"/>
    </row>
    <row r="1144" spans="1:4" x14ac:dyDescent="0.2">
      <c r="A1144" s="2"/>
      <c r="B1144" s="1"/>
      <c r="C1144" s="1"/>
      <c r="D1144" s="1"/>
    </row>
    <row r="1145" spans="1:4" x14ac:dyDescent="0.2">
      <c r="A1145" s="2"/>
      <c r="B1145" s="1"/>
      <c r="C1145" s="1"/>
      <c r="D1145" s="1"/>
    </row>
    <row r="1146" spans="1:4" x14ac:dyDescent="0.2">
      <c r="A1146" s="2"/>
      <c r="B1146" s="1"/>
      <c r="C1146" s="1"/>
      <c r="D1146" s="1"/>
    </row>
    <row r="1147" spans="1:4" x14ac:dyDescent="0.2">
      <c r="A1147" s="2"/>
      <c r="B1147" s="1"/>
      <c r="C1147" s="1"/>
      <c r="D1147" s="1"/>
    </row>
    <row r="1148" spans="1:4" x14ac:dyDescent="0.2">
      <c r="A1148" s="2"/>
      <c r="B1148" s="1"/>
      <c r="C1148" s="1"/>
      <c r="D1148" s="1"/>
    </row>
    <row r="1149" spans="1:4" x14ac:dyDescent="0.2">
      <c r="A1149" s="2"/>
      <c r="B1149" s="1"/>
      <c r="C1149" s="1"/>
      <c r="D1149" s="1"/>
    </row>
    <row r="1150" spans="1:4" x14ac:dyDescent="0.2">
      <c r="A1150" s="2"/>
      <c r="B1150" s="1"/>
      <c r="C1150" s="1"/>
      <c r="D1150" s="1"/>
    </row>
    <row r="1151" spans="1:4" x14ac:dyDescent="0.2">
      <c r="A1151" s="2"/>
      <c r="B1151" s="1"/>
      <c r="C1151" s="1"/>
      <c r="D1151" s="1"/>
    </row>
    <row r="1152" spans="1:4" x14ac:dyDescent="0.2">
      <c r="A1152" s="2"/>
      <c r="B1152" s="1"/>
      <c r="C1152" s="1"/>
      <c r="D1152" s="1"/>
    </row>
    <row r="1153" spans="1:4" x14ac:dyDescent="0.2">
      <c r="A1153" s="2"/>
      <c r="B1153" s="1"/>
      <c r="C1153" s="1"/>
      <c r="D1153" s="1"/>
    </row>
    <row r="1154" spans="1:4" x14ac:dyDescent="0.2">
      <c r="A1154" s="2"/>
      <c r="B1154" s="1"/>
      <c r="C1154" s="1"/>
      <c r="D1154" s="1"/>
    </row>
    <row r="1155" spans="1:4" x14ac:dyDescent="0.2">
      <c r="A1155" s="2"/>
      <c r="B1155" s="1"/>
      <c r="C1155" s="1"/>
      <c r="D1155" s="1"/>
    </row>
    <row r="1156" spans="1:4" x14ac:dyDescent="0.2">
      <c r="A1156" s="2"/>
      <c r="B1156" s="1"/>
      <c r="C1156" s="1"/>
      <c r="D1156" s="1"/>
    </row>
    <row r="1157" spans="1:4" x14ac:dyDescent="0.2">
      <c r="A1157" s="2"/>
      <c r="B1157" s="1"/>
      <c r="C1157" s="1"/>
      <c r="D1157" s="1"/>
    </row>
    <row r="1158" spans="1:4" x14ac:dyDescent="0.2">
      <c r="A1158" s="2"/>
      <c r="B1158" s="1"/>
      <c r="C1158" s="1"/>
      <c r="D1158" s="1"/>
    </row>
    <row r="1159" spans="1:4" x14ac:dyDescent="0.2">
      <c r="A1159" s="2"/>
      <c r="B1159" s="1"/>
      <c r="C1159" s="1"/>
      <c r="D1159" s="1"/>
    </row>
    <row r="1160" spans="1:4" x14ac:dyDescent="0.2">
      <c r="A1160" s="2"/>
      <c r="B1160" s="1"/>
      <c r="C1160" s="1"/>
      <c r="D1160" s="1"/>
    </row>
    <row r="1161" spans="1:4" x14ac:dyDescent="0.2">
      <c r="A1161" s="2"/>
      <c r="B1161" s="1"/>
      <c r="C1161" s="1"/>
      <c r="D1161" s="1"/>
    </row>
    <row r="1162" spans="1:4" x14ac:dyDescent="0.2">
      <c r="A1162" s="2"/>
      <c r="B1162" s="1"/>
      <c r="C1162" s="1"/>
      <c r="D1162" s="1"/>
    </row>
    <row r="1163" spans="1:4" x14ac:dyDescent="0.2">
      <c r="A1163" s="2"/>
      <c r="B1163" s="1"/>
      <c r="C1163" s="1"/>
      <c r="D1163" s="1"/>
    </row>
    <row r="1164" spans="1:4" x14ac:dyDescent="0.2">
      <c r="A1164" s="2"/>
      <c r="B1164" s="1"/>
      <c r="C1164" s="1"/>
      <c r="D1164" s="1"/>
    </row>
    <row r="1165" spans="1:4" x14ac:dyDescent="0.2">
      <c r="A1165" s="2"/>
      <c r="B1165" s="1"/>
      <c r="C1165" s="1"/>
      <c r="D1165" s="1"/>
    </row>
    <row r="1166" spans="1:4" x14ac:dyDescent="0.2">
      <c r="A1166" s="2"/>
      <c r="B1166" s="1"/>
      <c r="C1166" s="1"/>
      <c r="D1166" s="1"/>
    </row>
    <row r="1167" spans="1:4" x14ac:dyDescent="0.2">
      <c r="A1167" s="2"/>
      <c r="B1167" s="1"/>
      <c r="C1167" s="1"/>
      <c r="D1167" s="1"/>
    </row>
    <row r="1168" spans="1:4" x14ac:dyDescent="0.2">
      <c r="A1168" s="2"/>
      <c r="B1168" s="1"/>
      <c r="C1168" s="1"/>
      <c r="D1168" s="1"/>
    </row>
    <row r="1169" spans="1:4" x14ac:dyDescent="0.2">
      <c r="A1169" s="2"/>
      <c r="B1169" s="1"/>
      <c r="C1169" s="1"/>
      <c r="D1169" s="1"/>
    </row>
    <row r="1170" spans="1:4" x14ac:dyDescent="0.2">
      <c r="A1170" s="2"/>
      <c r="B1170" s="1"/>
      <c r="C1170" s="1"/>
      <c r="D1170" s="1"/>
    </row>
    <row r="1171" spans="1:4" x14ac:dyDescent="0.2">
      <c r="A1171" s="2"/>
      <c r="B1171" s="1"/>
      <c r="C1171" s="1"/>
      <c r="D1171" s="1"/>
    </row>
    <row r="1172" spans="1:4" x14ac:dyDescent="0.2">
      <c r="A1172" s="2"/>
      <c r="B1172" s="1"/>
      <c r="C1172" s="1"/>
      <c r="D1172" s="1"/>
    </row>
    <row r="1173" spans="1:4" x14ac:dyDescent="0.2">
      <c r="A1173" s="2"/>
      <c r="B1173" s="1"/>
      <c r="C1173" s="1"/>
      <c r="D1173" s="1"/>
    </row>
    <row r="1174" spans="1:4" x14ac:dyDescent="0.2">
      <c r="A1174" s="2"/>
      <c r="B1174" s="1"/>
      <c r="C1174" s="1"/>
      <c r="D1174" s="1"/>
    </row>
    <row r="1175" spans="1:4" x14ac:dyDescent="0.2">
      <c r="A1175" s="2"/>
      <c r="B1175" s="1"/>
      <c r="C1175" s="1"/>
      <c r="D1175" s="1"/>
    </row>
    <row r="1176" spans="1:4" x14ac:dyDescent="0.2">
      <c r="A1176" s="2"/>
      <c r="B1176" s="1"/>
      <c r="C1176" s="1"/>
      <c r="D1176" s="1"/>
    </row>
    <row r="1177" spans="1:4" x14ac:dyDescent="0.2">
      <c r="A1177" s="2"/>
      <c r="B1177" s="1"/>
      <c r="C1177" s="1"/>
      <c r="D1177" s="1"/>
    </row>
    <row r="1178" spans="1:4" x14ac:dyDescent="0.2">
      <c r="A1178" s="2"/>
      <c r="B1178" s="1"/>
      <c r="C1178" s="1"/>
      <c r="D1178" s="1"/>
    </row>
    <row r="1179" spans="1:4" x14ac:dyDescent="0.2">
      <c r="A1179" s="2"/>
      <c r="B1179" s="1"/>
      <c r="C1179" s="1"/>
      <c r="D1179" s="1"/>
    </row>
    <row r="1180" spans="1:4" x14ac:dyDescent="0.2">
      <c r="A1180" s="2"/>
      <c r="B1180" s="1"/>
      <c r="C1180" s="1"/>
      <c r="D1180" s="1"/>
    </row>
    <row r="1181" spans="1:4" x14ac:dyDescent="0.2">
      <c r="A1181" s="2"/>
      <c r="B1181" s="1"/>
      <c r="C1181" s="1"/>
      <c r="D1181" s="1"/>
    </row>
    <row r="1182" spans="1:4" x14ac:dyDescent="0.2">
      <c r="A1182" s="2"/>
      <c r="B1182" s="1"/>
      <c r="C1182" s="1"/>
      <c r="D1182" s="1"/>
    </row>
    <row r="1183" spans="1:4" x14ac:dyDescent="0.2">
      <c r="A1183" s="2"/>
      <c r="B1183" s="1"/>
      <c r="C1183" s="1"/>
      <c r="D1183" s="1"/>
    </row>
    <row r="1184" spans="1:4" x14ac:dyDescent="0.2">
      <c r="A1184" s="2"/>
      <c r="B1184" s="1"/>
      <c r="C1184" s="1"/>
      <c r="D1184" s="1"/>
    </row>
    <row r="1185" spans="1:4" x14ac:dyDescent="0.2">
      <c r="A1185" s="2"/>
      <c r="B1185" s="1"/>
      <c r="C1185" s="1"/>
      <c r="D1185" s="1"/>
    </row>
    <row r="1186" spans="1:4" x14ac:dyDescent="0.2">
      <c r="A1186" s="2"/>
      <c r="B1186" s="1"/>
      <c r="C1186" s="1"/>
      <c r="D1186" s="1"/>
    </row>
    <row r="1187" spans="1:4" x14ac:dyDescent="0.2">
      <c r="A1187" s="2"/>
      <c r="B1187" s="1"/>
      <c r="C1187" s="1"/>
      <c r="D1187" s="1"/>
    </row>
    <row r="1188" spans="1:4" x14ac:dyDescent="0.2">
      <c r="A1188" s="2"/>
      <c r="B1188" s="1"/>
      <c r="C1188" s="1"/>
      <c r="D1188" s="1"/>
    </row>
    <row r="1189" spans="1:4" x14ac:dyDescent="0.2">
      <c r="A1189" s="2"/>
      <c r="B1189" s="1"/>
      <c r="C1189" s="1"/>
      <c r="D1189" s="1"/>
    </row>
    <row r="1190" spans="1:4" x14ac:dyDescent="0.2">
      <c r="A1190" s="2"/>
      <c r="B1190" s="1"/>
      <c r="C1190" s="1"/>
      <c r="D1190" s="1"/>
    </row>
    <row r="1191" spans="1:4" x14ac:dyDescent="0.2">
      <c r="A1191" s="2"/>
      <c r="B1191" s="1"/>
      <c r="C1191" s="1"/>
      <c r="D1191" s="1"/>
    </row>
    <row r="1192" spans="1:4" x14ac:dyDescent="0.2">
      <c r="A1192" s="2"/>
      <c r="B1192" s="1"/>
      <c r="C1192" s="1"/>
      <c r="D1192" s="1"/>
    </row>
    <row r="1193" spans="1:4" x14ac:dyDescent="0.2">
      <c r="A1193" s="2"/>
      <c r="B1193" s="1"/>
      <c r="C1193" s="1"/>
      <c r="D1193" s="1"/>
    </row>
    <row r="1194" spans="1:4" x14ac:dyDescent="0.2">
      <c r="A1194" s="2"/>
      <c r="B1194" s="1"/>
      <c r="C1194" s="1"/>
      <c r="D1194" s="1"/>
    </row>
    <row r="1195" spans="1:4" x14ac:dyDescent="0.2">
      <c r="A1195" s="2"/>
      <c r="B1195" s="1"/>
      <c r="C1195" s="1"/>
      <c r="D1195" s="1"/>
    </row>
    <row r="1196" spans="1:4" x14ac:dyDescent="0.2">
      <c r="A1196" s="2"/>
      <c r="B1196" s="1"/>
      <c r="C1196" s="1"/>
      <c r="D1196" s="1"/>
    </row>
    <row r="1197" spans="1:4" x14ac:dyDescent="0.2">
      <c r="A1197" s="2"/>
      <c r="B1197" s="1"/>
      <c r="C1197" s="1"/>
      <c r="D1197" s="1"/>
    </row>
    <row r="1198" spans="1:4" x14ac:dyDescent="0.2">
      <c r="A1198" s="2"/>
      <c r="B1198" s="1"/>
      <c r="C1198" s="1"/>
      <c r="D1198" s="1"/>
    </row>
    <row r="1199" spans="1:4" x14ac:dyDescent="0.2">
      <c r="A1199" s="2"/>
      <c r="B1199" s="1"/>
      <c r="C1199" s="1"/>
      <c r="D1199" s="1"/>
    </row>
    <row r="1200" spans="1:4" x14ac:dyDescent="0.2">
      <c r="A1200" s="2"/>
      <c r="B1200" s="1"/>
      <c r="C1200" s="1"/>
      <c r="D1200" s="1"/>
    </row>
    <row r="1201" spans="1:4" x14ac:dyDescent="0.2">
      <c r="A1201" s="2"/>
      <c r="B1201" s="1"/>
      <c r="C1201" s="1"/>
      <c r="D1201" s="1"/>
    </row>
    <row r="1202" spans="1:4" x14ac:dyDescent="0.2">
      <c r="A1202" s="2"/>
      <c r="B1202" s="1"/>
      <c r="C1202" s="1"/>
      <c r="D1202" s="1"/>
    </row>
    <row r="1203" spans="1:4" x14ac:dyDescent="0.2">
      <c r="A1203" s="2"/>
      <c r="B1203" s="1"/>
      <c r="C1203" s="1"/>
      <c r="D1203" s="1"/>
    </row>
    <row r="1204" spans="1:4" x14ac:dyDescent="0.2">
      <c r="A1204" s="2"/>
      <c r="B1204" s="1"/>
      <c r="C1204" s="1"/>
      <c r="D1204" s="1"/>
    </row>
    <row r="1205" spans="1:4" x14ac:dyDescent="0.2">
      <c r="A1205" s="2"/>
      <c r="B1205" s="1"/>
      <c r="C1205" s="1"/>
      <c r="D1205" s="1"/>
    </row>
    <row r="1206" spans="1:4" x14ac:dyDescent="0.2">
      <c r="A1206" s="2"/>
      <c r="B1206" s="1"/>
      <c r="C1206" s="1"/>
      <c r="D1206" s="1"/>
    </row>
    <row r="1207" spans="1:4" x14ac:dyDescent="0.2">
      <c r="A1207" s="2"/>
      <c r="B1207" s="1"/>
      <c r="C1207" s="1"/>
      <c r="D1207" s="1"/>
    </row>
    <row r="1208" spans="1:4" x14ac:dyDescent="0.2">
      <c r="A1208" s="2"/>
      <c r="B1208" s="1"/>
      <c r="C1208" s="1"/>
      <c r="D1208" s="1"/>
    </row>
    <row r="1209" spans="1:4" x14ac:dyDescent="0.2">
      <c r="A1209" s="2"/>
      <c r="B1209" s="1"/>
      <c r="C1209" s="1"/>
      <c r="D1209" s="1"/>
    </row>
    <row r="1210" spans="1:4" x14ac:dyDescent="0.2">
      <c r="A1210" s="2"/>
      <c r="B1210" s="1"/>
      <c r="C1210" s="1"/>
      <c r="D1210" s="1"/>
    </row>
    <row r="1211" spans="1:4" x14ac:dyDescent="0.2">
      <c r="A1211" s="2"/>
      <c r="B1211" s="1"/>
      <c r="C1211" s="1"/>
      <c r="D1211" s="1"/>
    </row>
    <row r="1212" spans="1:4" x14ac:dyDescent="0.2">
      <c r="A1212" s="2"/>
      <c r="B1212" s="1"/>
      <c r="C1212" s="1"/>
      <c r="D1212" s="1"/>
    </row>
    <row r="1213" spans="1:4" x14ac:dyDescent="0.2">
      <c r="A1213" s="2"/>
      <c r="B1213" s="1"/>
      <c r="C1213" s="1"/>
      <c r="D1213" s="1"/>
    </row>
    <row r="1214" spans="1:4" x14ac:dyDescent="0.2">
      <c r="A1214" s="2"/>
      <c r="B1214" s="1"/>
      <c r="C1214" s="1"/>
      <c r="D1214" s="1"/>
    </row>
    <row r="1215" spans="1:4" x14ac:dyDescent="0.2">
      <c r="A1215" s="2"/>
      <c r="B1215" s="1"/>
      <c r="C1215" s="1"/>
      <c r="D1215" s="1"/>
    </row>
    <row r="1216" spans="1:4" x14ac:dyDescent="0.2">
      <c r="A1216" s="2"/>
      <c r="B1216" s="1"/>
      <c r="C1216" s="1"/>
      <c r="D1216" s="1"/>
    </row>
    <row r="1217" spans="1:4" x14ac:dyDescent="0.2">
      <c r="A1217" s="2"/>
      <c r="B1217" s="1"/>
      <c r="C1217" s="1"/>
      <c r="D1217" s="1"/>
    </row>
    <row r="1218" spans="1:4" x14ac:dyDescent="0.2">
      <c r="A1218" s="2"/>
      <c r="B1218" s="1"/>
      <c r="C1218" s="1"/>
      <c r="D1218" s="1"/>
    </row>
    <row r="1219" spans="1:4" x14ac:dyDescent="0.2">
      <c r="A1219" s="2"/>
      <c r="B1219" s="1"/>
      <c r="C1219" s="1"/>
      <c r="D1219" s="1"/>
    </row>
    <row r="1220" spans="1:4" x14ac:dyDescent="0.2">
      <c r="A1220" s="2"/>
      <c r="B1220" s="1"/>
      <c r="C1220" s="1"/>
      <c r="D1220" s="1"/>
    </row>
    <row r="1221" spans="1:4" x14ac:dyDescent="0.2">
      <c r="A1221" s="2"/>
      <c r="B1221" s="1"/>
      <c r="C1221" s="1"/>
      <c r="D1221" s="1"/>
    </row>
    <row r="1222" spans="1:4" x14ac:dyDescent="0.2">
      <c r="A1222" s="2"/>
      <c r="B1222" s="1"/>
      <c r="C1222" s="1"/>
      <c r="D1222" s="1"/>
    </row>
    <row r="1223" spans="1:4" x14ac:dyDescent="0.2">
      <c r="A1223" s="2"/>
      <c r="B1223" s="1"/>
      <c r="C1223" s="1"/>
      <c r="D1223" s="1"/>
    </row>
    <row r="1224" spans="1:4" x14ac:dyDescent="0.2">
      <c r="A1224" s="2"/>
      <c r="B1224" s="1"/>
      <c r="C1224" s="1"/>
      <c r="D1224" s="1"/>
    </row>
    <row r="1225" spans="1:4" x14ac:dyDescent="0.2">
      <c r="A1225" s="2"/>
      <c r="B1225" s="1"/>
      <c r="C1225" s="1"/>
      <c r="D1225" s="1"/>
    </row>
    <row r="1226" spans="1:4" x14ac:dyDescent="0.2">
      <c r="A1226" s="2"/>
      <c r="B1226" s="1"/>
      <c r="C1226" s="1"/>
      <c r="D1226" s="1"/>
    </row>
    <row r="1227" spans="1:4" x14ac:dyDescent="0.2">
      <c r="A1227" s="2"/>
      <c r="B1227" s="1"/>
      <c r="C1227" s="1"/>
      <c r="D1227" s="1"/>
    </row>
    <row r="1228" spans="1:4" x14ac:dyDescent="0.2">
      <c r="A1228" s="2"/>
      <c r="B1228" s="1"/>
      <c r="C1228" s="1"/>
      <c r="D1228" s="1"/>
    </row>
    <row r="1229" spans="1:4" x14ac:dyDescent="0.2">
      <c r="A1229" s="2"/>
      <c r="B1229" s="1"/>
      <c r="C1229" s="1"/>
      <c r="D1229" s="1"/>
    </row>
    <row r="1230" spans="1:4" x14ac:dyDescent="0.2">
      <c r="A1230" s="2"/>
      <c r="B1230" s="1"/>
      <c r="C1230" s="1"/>
      <c r="D1230" s="1"/>
    </row>
    <row r="1231" spans="1:4" x14ac:dyDescent="0.2">
      <c r="A1231" s="2"/>
      <c r="B1231" s="1"/>
      <c r="C1231" s="1"/>
      <c r="D1231" s="1"/>
    </row>
    <row r="1232" spans="1:4" x14ac:dyDescent="0.2">
      <c r="A1232" s="2"/>
      <c r="B1232" s="1"/>
      <c r="C1232" s="1"/>
      <c r="D1232" s="1"/>
    </row>
    <row r="1233" spans="1:4" x14ac:dyDescent="0.2">
      <c r="A1233" s="2"/>
      <c r="B1233" s="1"/>
      <c r="C1233" s="1"/>
      <c r="D1233" s="1"/>
    </row>
    <row r="1234" spans="1:4" x14ac:dyDescent="0.2">
      <c r="A1234" s="2"/>
      <c r="B1234" s="1"/>
      <c r="C1234" s="1"/>
      <c r="D1234" s="1"/>
    </row>
    <row r="1235" spans="1:4" x14ac:dyDescent="0.2">
      <c r="A1235" s="2"/>
      <c r="B1235" s="1"/>
      <c r="C1235" s="1"/>
      <c r="D1235" s="1"/>
    </row>
    <row r="1236" spans="1:4" x14ac:dyDescent="0.2">
      <c r="A1236" s="2"/>
      <c r="B1236" s="1"/>
      <c r="C1236" s="1"/>
      <c r="D1236" s="1"/>
    </row>
    <row r="1237" spans="1:4" x14ac:dyDescent="0.2">
      <c r="A1237" s="2"/>
      <c r="B1237" s="1"/>
      <c r="C1237" s="1"/>
      <c r="D1237" s="1"/>
    </row>
    <row r="1238" spans="1:4" x14ac:dyDescent="0.2">
      <c r="A1238" s="2"/>
      <c r="B1238" s="1"/>
      <c r="C1238" s="1"/>
      <c r="D1238" s="1"/>
    </row>
    <row r="1239" spans="1:4" x14ac:dyDescent="0.2">
      <c r="A1239" s="2"/>
      <c r="B1239" s="1"/>
      <c r="C1239" s="1"/>
      <c r="D1239" s="1"/>
    </row>
    <row r="1240" spans="1:4" x14ac:dyDescent="0.2">
      <c r="A1240" s="2"/>
      <c r="B1240" s="1"/>
      <c r="C1240" s="1"/>
      <c r="D1240" s="1"/>
    </row>
    <row r="1241" spans="1:4" x14ac:dyDescent="0.2">
      <c r="A1241" s="2"/>
      <c r="B1241" s="1"/>
      <c r="C1241" s="1"/>
      <c r="D1241" s="1"/>
    </row>
    <row r="1242" spans="1:4" x14ac:dyDescent="0.2">
      <c r="A1242" s="2"/>
      <c r="B1242" s="1"/>
      <c r="C1242" s="1"/>
      <c r="D1242" s="1"/>
    </row>
    <row r="1243" spans="1:4" x14ac:dyDescent="0.2">
      <c r="A1243" s="2"/>
      <c r="B1243" s="1"/>
      <c r="C1243" s="1"/>
      <c r="D1243" s="1"/>
    </row>
    <row r="1244" spans="1:4" x14ac:dyDescent="0.2">
      <c r="A1244" s="2"/>
      <c r="B1244" s="1"/>
      <c r="C1244" s="1"/>
      <c r="D1244" s="1"/>
    </row>
    <row r="1245" spans="1:4" x14ac:dyDescent="0.2">
      <c r="A1245" s="2"/>
      <c r="B1245" s="1"/>
      <c r="C1245" s="1"/>
      <c r="D1245" s="1"/>
    </row>
    <row r="1246" spans="1:4" x14ac:dyDescent="0.2">
      <c r="A1246" s="2"/>
      <c r="B1246" s="1"/>
      <c r="C1246" s="1"/>
      <c r="D1246" s="1"/>
    </row>
    <row r="1247" spans="1:4" x14ac:dyDescent="0.2">
      <c r="A1247" s="2"/>
      <c r="B1247" s="1"/>
      <c r="C1247" s="1"/>
      <c r="D1247" s="1"/>
    </row>
    <row r="1248" spans="1:4" x14ac:dyDescent="0.2">
      <c r="A1248" s="2"/>
      <c r="B1248" s="1"/>
      <c r="C1248" s="1"/>
      <c r="D1248" s="1"/>
    </row>
    <row r="1249" spans="1:4" x14ac:dyDescent="0.2">
      <c r="A1249" s="2"/>
      <c r="B1249" s="1"/>
      <c r="C1249" s="1"/>
      <c r="D1249" s="1"/>
    </row>
    <row r="1250" spans="1:4" x14ac:dyDescent="0.2">
      <c r="A1250" s="2"/>
      <c r="B1250" s="1"/>
      <c r="C1250" s="1"/>
      <c r="D1250" s="1"/>
    </row>
    <row r="1251" spans="1:4" x14ac:dyDescent="0.2">
      <c r="A1251" s="2"/>
      <c r="B1251" s="1"/>
      <c r="C1251" s="1"/>
      <c r="D1251" s="1"/>
    </row>
    <row r="1252" spans="1:4" x14ac:dyDescent="0.2">
      <c r="A1252" s="2"/>
      <c r="B1252" s="1"/>
      <c r="C1252" s="1"/>
      <c r="D1252" s="1"/>
    </row>
    <row r="1253" spans="1:4" x14ac:dyDescent="0.2">
      <c r="A1253" s="2"/>
      <c r="B1253" s="1"/>
      <c r="C1253" s="1"/>
      <c r="D1253" s="1"/>
    </row>
    <row r="1254" spans="1:4" x14ac:dyDescent="0.2">
      <c r="A1254" s="2"/>
      <c r="B1254" s="1"/>
      <c r="C1254" s="1"/>
      <c r="D1254" s="1"/>
    </row>
    <row r="1255" spans="1:4" x14ac:dyDescent="0.2">
      <c r="A1255" s="2"/>
      <c r="B1255" s="1"/>
      <c r="C1255" s="1"/>
      <c r="D1255" s="1"/>
    </row>
    <row r="1256" spans="1:4" x14ac:dyDescent="0.2">
      <c r="A1256" s="2"/>
      <c r="B1256" s="1"/>
      <c r="C1256" s="1"/>
      <c r="D1256" s="1"/>
    </row>
    <row r="1257" spans="1:4" x14ac:dyDescent="0.2">
      <c r="A1257" s="2"/>
      <c r="B1257" s="1"/>
      <c r="C1257" s="1"/>
      <c r="D1257" s="1"/>
    </row>
    <row r="1258" spans="1:4" x14ac:dyDescent="0.2">
      <c r="A1258" s="2"/>
      <c r="B1258" s="1"/>
      <c r="C1258" s="1"/>
      <c r="D1258" s="1"/>
    </row>
    <row r="1259" spans="1:4" x14ac:dyDescent="0.2">
      <c r="A1259" s="2"/>
      <c r="B1259" s="1"/>
      <c r="C1259" s="1"/>
      <c r="D1259" s="1"/>
    </row>
    <row r="1260" spans="1:4" x14ac:dyDescent="0.2">
      <c r="A1260" s="2"/>
      <c r="B1260" s="1"/>
      <c r="C1260" s="1"/>
      <c r="D1260" s="1"/>
    </row>
    <row r="1261" spans="1:4" x14ac:dyDescent="0.2">
      <c r="A1261" s="2"/>
      <c r="B1261" s="1"/>
      <c r="C1261" s="1"/>
      <c r="D1261" s="1"/>
    </row>
    <row r="1262" spans="1:4" x14ac:dyDescent="0.2">
      <c r="A1262" s="2"/>
      <c r="B1262" s="1"/>
      <c r="C1262" s="1"/>
      <c r="D1262" s="1"/>
    </row>
    <row r="1263" spans="1:4" x14ac:dyDescent="0.2">
      <c r="A1263" s="2"/>
      <c r="B1263" s="1"/>
      <c r="C1263" s="1"/>
      <c r="D1263" s="1"/>
    </row>
    <row r="1264" spans="1:4" x14ac:dyDescent="0.2">
      <c r="A1264" s="2"/>
      <c r="B1264" s="1"/>
      <c r="C1264" s="1"/>
      <c r="D1264" s="1"/>
    </row>
    <row r="1265" spans="1:4" x14ac:dyDescent="0.2">
      <c r="A1265" s="2"/>
      <c r="B1265" s="1"/>
      <c r="C1265" s="1"/>
      <c r="D1265" s="1"/>
    </row>
    <row r="1266" spans="1:4" x14ac:dyDescent="0.2">
      <c r="A1266" s="2"/>
      <c r="B1266" s="1"/>
      <c r="C1266" s="1"/>
      <c r="D1266" s="1"/>
    </row>
    <row r="1267" spans="1:4" x14ac:dyDescent="0.2">
      <c r="A1267" s="2"/>
      <c r="B1267" s="1"/>
      <c r="C1267" s="1"/>
      <c r="D1267" s="1"/>
    </row>
    <row r="1268" spans="1:4" x14ac:dyDescent="0.2">
      <c r="A1268" s="2"/>
      <c r="B1268" s="1"/>
      <c r="C1268" s="1"/>
      <c r="D1268" s="1"/>
    </row>
    <row r="1269" spans="1:4" x14ac:dyDescent="0.2">
      <c r="A1269" s="2"/>
      <c r="B1269" s="1"/>
      <c r="C1269" s="1"/>
      <c r="D1269" s="1"/>
    </row>
    <row r="1270" spans="1:4" x14ac:dyDescent="0.2">
      <c r="A1270" s="2"/>
      <c r="B1270" s="1"/>
      <c r="C1270" s="1"/>
      <c r="D1270" s="1"/>
    </row>
    <row r="1271" spans="1:4" x14ac:dyDescent="0.2">
      <c r="A1271" s="2"/>
      <c r="B1271" s="1"/>
      <c r="C1271" s="1"/>
      <c r="D1271" s="1"/>
    </row>
    <row r="1272" spans="1:4" x14ac:dyDescent="0.2">
      <c r="A1272" s="2"/>
      <c r="B1272" s="1"/>
      <c r="C1272" s="1"/>
      <c r="D1272" s="1"/>
    </row>
    <row r="1273" spans="1:4" x14ac:dyDescent="0.2">
      <c r="A1273" s="2"/>
      <c r="B1273" s="1"/>
      <c r="C1273" s="1"/>
      <c r="D1273" s="1"/>
    </row>
    <row r="1274" spans="1:4" x14ac:dyDescent="0.2">
      <c r="A1274" s="2"/>
      <c r="B1274" s="1"/>
      <c r="C1274" s="1"/>
      <c r="D1274" s="1"/>
    </row>
    <row r="1275" spans="1:4" x14ac:dyDescent="0.2">
      <c r="A1275" s="2"/>
      <c r="B1275" s="1"/>
      <c r="C1275" s="1"/>
      <c r="D1275" s="1"/>
    </row>
    <row r="1276" spans="1:4" x14ac:dyDescent="0.2">
      <c r="A1276" s="2"/>
      <c r="B1276" s="1"/>
      <c r="C1276" s="1"/>
      <c r="D1276" s="1"/>
    </row>
    <row r="1277" spans="1:4" x14ac:dyDescent="0.2">
      <c r="A1277" s="2"/>
      <c r="B1277" s="1"/>
      <c r="C1277" s="1"/>
      <c r="D1277" s="1"/>
    </row>
    <row r="1278" spans="1:4" x14ac:dyDescent="0.2">
      <c r="A1278" s="2"/>
      <c r="B1278" s="1"/>
      <c r="C1278" s="1"/>
      <c r="D1278" s="1"/>
    </row>
    <row r="1279" spans="1:4" x14ac:dyDescent="0.2">
      <c r="A1279" s="2"/>
      <c r="B1279" s="1"/>
      <c r="C1279" s="1"/>
      <c r="D1279" s="1"/>
    </row>
    <row r="1280" spans="1:4" x14ac:dyDescent="0.2">
      <c r="A1280" s="2"/>
      <c r="B1280" s="1"/>
      <c r="C1280" s="1"/>
      <c r="D1280" s="1"/>
    </row>
    <row r="1281" spans="1:4" x14ac:dyDescent="0.2">
      <c r="A1281" s="2"/>
      <c r="B1281" s="1"/>
      <c r="C1281" s="1"/>
      <c r="D1281" s="1"/>
    </row>
    <row r="1282" spans="1:4" x14ac:dyDescent="0.2">
      <c r="A1282" s="2"/>
      <c r="B1282" s="1"/>
      <c r="C1282" s="1"/>
      <c r="D1282" s="1"/>
    </row>
    <row r="1283" spans="1:4" x14ac:dyDescent="0.2">
      <c r="A1283" s="2"/>
      <c r="B1283" s="1"/>
      <c r="C1283" s="1"/>
      <c r="D1283" s="1"/>
    </row>
    <row r="1284" spans="1:4" x14ac:dyDescent="0.2">
      <c r="A1284" s="2"/>
      <c r="B1284" s="1"/>
      <c r="C1284" s="1"/>
      <c r="D1284" s="1"/>
    </row>
    <row r="1285" spans="1:4" x14ac:dyDescent="0.2">
      <c r="A1285" s="2"/>
      <c r="B1285" s="1"/>
      <c r="C1285" s="1"/>
      <c r="D1285" s="1"/>
    </row>
    <row r="1286" spans="1:4" x14ac:dyDescent="0.2">
      <c r="A1286" s="2"/>
      <c r="B1286" s="1"/>
      <c r="C1286" s="1"/>
      <c r="D1286" s="1"/>
    </row>
    <row r="1287" spans="1:4" x14ac:dyDescent="0.2">
      <c r="A1287" s="2"/>
      <c r="B1287" s="1"/>
      <c r="C1287" s="1"/>
      <c r="D1287" s="1"/>
    </row>
    <row r="1288" spans="1:4" x14ac:dyDescent="0.2">
      <c r="A1288" s="2"/>
      <c r="B1288" s="1"/>
      <c r="C1288" s="1"/>
      <c r="D1288" s="1"/>
    </row>
    <row r="1289" spans="1:4" x14ac:dyDescent="0.2">
      <c r="A1289" s="2"/>
      <c r="B1289" s="1"/>
      <c r="C1289" s="1"/>
      <c r="D1289" s="1"/>
    </row>
    <row r="1290" spans="1:4" x14ac:dyDescent="0.2">
      <c r="A1290" s="2"/>
      <c r="B1290" s="1"/>
      <c r="C1290" s="1"/>
      <c r="D1290" s="1"/>
    </row>
    <row r="1291" spans="1:4" x14ac:dyDescent="0.2">
      <c r="A1291" s="2"/>
      <c r="B1291" s="1"/>
      <c r="C1291" s="1"/>
      <c r="D1291" s="1"/>
    </row>
    <row r="1292" spans="1:4" x14ac:dyDescent="0.2">
      <c r="A1292" s="2"/>
      <c r="B1292" s="1"/>
      <c r="C1292" s="1"/>
      <c r="D1292" s="1"/>
    </row>
    <row r="1293" spans="1:4" x14ac:dyDescent="0.2">
      <c r="A1293" s="2"/>
      <c r="B1293" s="1"/>
      <c r="C1293" s="1"/>
      <c r="D1293" s="1"/>
    </row>
    <row r="1294" spans="1:4" x14ac:dyDescent="0.2">
      <c r="A1294" s="2"/>
      <c r="B1294" s="1"/>
      <c r="C1294" s="1"/>
      <c r="D1294" s="1"/>
    </row>
    <row r="1295" spans="1:4" x14ac:dyDescent="0.2">
      <c r="A1295" s="2"/>
      <c r="B1295" s="1"/>
      <c r="C1295" s="1"/>
      <c r="D1295" s="1"/>
    </row>
    <row r="1296" spans="1:4" x14ac:dyDescent="0.2">
      <c r="A1296" s="2"/>
      <c r="B1296" s="1"/>
      <c r="C1296" s="1"/>
      <c r="D1296" s="1"/>
    </row>
    <row r="1297" spans="1:4" x14ac:dyDescent="0.2">
      <c r="A1297" s="2"/>
      <c r="B1297" s="1"/>
      <c r="C1297" s="1"/>
      <c r="D1297" s="1"/>
    </row>
    <row r="1298" spans="1:4" x14ac:dyDescent="0.2">
      <c r="A1298" s="2"/>
      <c r="B1298" s="1"/>
      <c r="C1298" s="1"/>
      <c r="D1298" s="1"/>
    </row>
    <row r="1299" spans="1:4" x14ac:dyDescent="0.2">
      <c r="A1299" s="2"/>
      <c r="B1299" s="1"/>
      <c r="C1299" s="1"/>
      <c r="D1299" s="1"/>
    </row>
    <row r="1300" spans="1:4" x14ac:dyDescent="0.2">
      <c r="A1300" s="2"/>
      <c r="B1300" s="1"/>
      <c r="C1300" s="1"/>
      <c r="D1300" s="1"/>
    </row>
    <row r="1301" spans="1:4" x14ac:dyDescent="0.2">
      <c r="A1301" s="2"/>
      <c r="B1301" s="1"/>
      <c r="C1301" s="1"/>
      <c r="D1301" s="1"/>
    </row>
    <row r="1302" spans="1:4" x14ac:dyDescent="0.2">
      <c r="A1302" s="2"/>
      <c r="B1302" s="1"/>
      <c r="C1302" s="1"/>
      <c r="D1302" s="1"/>
    </row>
    <row r="1303" spans="1:4" x14ac:dyDescent="0.2">
      <c r="A1303" s="2"/>
      <c r="B1303" s="1"/>
      <c r="C1303" s="1"/>
      <c r="D1303" s="1"/>
    </row>
    <row r="1304" spans="1:4" x14ac:dyDescent="0.2">
      <c r="A1304" s="2"/>
      <c r="B1304" s="1"/>
      <c r="C1304" s="1"/>
      <c r="D1304" s="1"/>
    </row>
    <row r="1305" spans="1:4" x14ac:dyDescent="0.2">
      <c r="A1305" s="2"/>
      <c r="B1305" s="1"/>
      <c r="C1305" s="1"/>
      <c r="D1305" s="1"/>
    </row>
    <row r="1306" spans="1:4" x14ac:dyDescent="0.2">
      <c r="A1306" s="2"/>
      <c r="B1306" s="1"/>
      <c r="C1306" s="1"/>
      <c r="D1306" s="1"/>
    </row>
    <row r="1307" spans="1:4" x14ac:dyDescent="0.2">
      <c r="A1307" s="2"/>
      <c r="B1307" s="1"/>
      <c r="C1307" s="1"/>
      <c r="D1307" s="1"/>
    </row>
    <row r="1308" spans="1:4" x14ac:dyDescent="0.2">
      <c r="A1308" s="2"/>
      <c r="B1308" s="1"/>
      <c r="C1308" s="1"/>
      <c r="D1308" s="1"/>
    </row>
    <row r="1309" spans="1:4" x14ac:dyDescent="0.2">
      <c r="A1309" s="2"/>
      <c r="B1309" s="1"/>
      <c r="C1309" s="1"/>
      <c r="D1309" s="1"/>
    </row>
    <row r="1310" spans="1:4" x14ac:dyDescent="0.2">
      <c r="A1310" s="2"/>
      <c r="B1310" s="1"/>
      <c r="C1310" s="1"/>
      <c r="D1310" s="1"/>
    </row>
    <row r="1311" spans="1:4" x14ac:dyDescent="0.2">
      <c r="A1311" s="2"/>
      <c r="B1311" s="1"/>
      <c r="C1311" s="1"/>
      <c r="D1311" s="1"/>
    </row>
    <row r="1312" spans="1:4" x14ac:dyDescent="0.2">
      <c r="A1312" s="2"/>
      <c r="B1312" s="1"/>
      <c r="C1312" s="1"/>
      <c r="D1312" s="1"/>
    </row>
    <row r="1313" spans="1:4" x14ac:dyDescent="0.2">
      <c r="A1313" s="2"/>
      <c r="B1313" s="1"/>
      <c r="C1313" s="1"/>
      <c r="D1313" s="1"/>
    </row>
    <row r="1314" spans="1:4" x14ac:dyDescent="0.2">
      <c r="A1314" s="2"/>
      <c r="B1314" s="1"/>
      <c r="C1314" s="1"/>
      <c r="D1314" s="1"/>
    </row>
    <row r="1315" spans="1:4" x14ac:dyDescent="0.2">
      <c r="A1315" s="2"/>
      <c r="B1315" s="1"/>
      <c r="C1315" s="1"/>
      <c r="D1315" s="1"/>
    </row>
    <row r="1316" spans="1:4" x14ac:dyDescent="0.2">
      <c r="A1316" s="2"/>
      <c r="B1316" s="1"/>
      <c r="C1316" s="1"/>
      <c r="D1316" s="1"/>
    </row>
    <row r="1317" spans="1:4" x14ac:dyDescent="0.2">
      <c r="A1317" s="2"/>
      <c r="B1317" s="1"/>
      <c r="C1317" s="1"/>
      <c r="D1317" s="1"/>
    </row>
    <row r="1318" spans="1:4" x14ac:dyDescent="0.2">
      <c r="A1318" s="2"/>
      <c r="B1318" s="1"/>
      <c r="C1318" s="1"/>
      <c r="D1318" s="1"/>
    </row>
    <row r="1319" spans="1:4" x14ac:dyDescent="0.2">
      <c r="A1319" s="2"/>
      <c r="B1319" s="1"/>
      <c r="C1319" s="1"/>
      <c r="D1319" s="1"/>
    </row>
    <row r="1320" spans="1:4" x14ac:dyDescent="0.2">
      <c r="A1320" s="2"/>
      <c r="B1320" s="1"/>
      <c r="C1320" s="1"/>
      <c r="D1320" s="1"/>
    </row>
    <row r="1321" spans="1:4" x14ac:dyDescent="0.2">
      <c r="A1321" s="2"/>
      <c r="B1321" s="1"/>
      <c r="C1321" s="1"/>
      <c r="D1321" s="1"/>
    </row>
    <row r="1322" spans="1:4" x14ac:dyDescent="0.2">
      <c r="A1322" s="2"/>
      <c r="B1322" s="1"/>
      <c r="C1322" s="1"/>
      <c r="D1322" s="1"/>
    </row>
    <row r="1323" spans="1:4" x14ac:dyDescent="0.2">
      <c r="A1323" s="2"/>
      <c r="B1323" s="1"/>
      <c r="C1323" s="1"/>
      <c r="D1323" s="1"/>
    </row>
    <row r="1324" spans="1:4" x14ac:dyDescent="0.2">
      <c r="A1324" s="2"/>
      <c r="B1324" s="1"/>
      <c r="C1324" s="1"/>
      <c r="D1324" s="1"/>
    </row>
    <row r="1325" spans="1:4" x14ac:dyDescent="0.2">
      <c r="A1325" s="2"/>
      <c r="B1325" s="1"/>
      <c r="C1325" s="1"/>
      <c r="D1325" s="1"/>
    </row>
    <row r="1326" spans="1:4" x14ac:dyDescent="0.2">
      <c r="A1326" s="2"/>
      <c r="B1326" s="1"/>
      <c r="C1326" s="1"/>
      <c r="D1326" s="1"/>
    </row>
    <row r="1327" spans="1:4" x14ac:dyDescent="0.2">
      <c r="A1327" s="2"/>
      <c r="B1327" s="1"/>
      <c r="C1327" s="1"/>
      <c r="D1327" s="1"/>
    </row>
    <row r="1328" spans="1:4" x14ac:dyDescent="0.2">
      <c r="A1328" s="2"/>
      <c r="B1328" s="1"/>
      <c r="C1328" s="1"/>
      <c r="D1328" s="1"/>
    </row>
    <row r="1329" spans="1:4" x14ac:dyDescent="0.2">
      <c r="A1329" s="2"/>
      <c r="B1329" s="1"/>
      <c r="C1329" s="1"/>
      <c r="D1329" s="1"/>
    </row>
    <row r="1330" spans="1:4" x14ac:dyDescent="0.2">
      <c r="A1330" s="2"/>
      <c r="B1330" s="1"/>
      <c r="C1330" s="1"/>
      <c r="D1330" s="1"/>
    </row>
    <row r="1331" spans="1:4" x14ac:dyDescent="0.2">
      <c r="A1331" s="2"/>
      <c r="B1331" s="1"/>
      <c r="C1331" s="1"/>
      <c r="D1331" s="1"/>
    </row>
    <row r="1332" spans="1:4" x14ac:dyDescent="0.2">
      <c r="A1332" s="2"/>
      <c r="B1332" s="1"/>
      <c r="C1332" s="1"/>
      <c r="D1332" s="1"/>
    </row>
    <row r="1333" spans="1:4" x14ac:dyDescent="0.2">
      <c r="A1333" s="2"/>
      <c r="B1333" s="1"/>
      <c r="C1333" s="1"/>
      <c r="D1333" s="1"/>
    </row>
    <row r="1334" spans="1:4" x14ac:dyDescent="0.2">
      <c r="A1334" s="2"/>
      <c r="B1334" s="1"/>
      <c r="C1334" s="1"/>
      <c r="D1334" s="1"/>
    </row>
    <row r="1335" spans="1:4" x14ac:dyDescent="0.2">
      <c r="A1335" s="2"/>
      <c r="B1335" s="1"/>
      <c r="C1335" s="1"/>
      <c r="D1335" s="1"/>
    </row>
    <row r="1336" spans="1:4" x14ac:dyDescent="0.2">
      <c r="A1336" s="2"/>
      <c r="B1336" s="1"/>
      <c r="C1336" s="1"/>
      <c r="D1336" s="1"/>
    </row>
    <row r="1337" spans="1:4" x14ac:dyDescent="0.2">
      <c r="A1337" s="2"/>
      <c r="B1337" s="1"/>
      <c r="C1337" s="1"/>
      <c r="D1337" s="1"/>
    </row>
    <row r="1338" spans="1:4" x14ac:dyDescent="0.2">
      <c r="A1338" s="2"/>
      <c r="B1338" s="1"/>
      <c r="C1338" s="1"/>
      <c r="D1338" s="1"/>
    </row>
    <row r="1339" spans="1:4" x14ac:dyDescent="0.2">
      <c r="A1339" s="2"/>
      <c r="B1339" s="1"/>
      <c r="C1339" s="1"/>
      <c r="D1339" s="1"/>
    </row>
    <row r="1340" spans="1:4" x14ac:dyDescent="0.2">
      <c r="A1340" s="2"/>
      <c r="B1340" s="1"/>
      <c r="C1340" s="1"/>
      <c r="D1340" s="1"/>
    </row>
    <row r="1341" spans="1:4" x14ac:dyDescent="0.2">
      <c r="A1341" s="2"/>
      <c r="B1341" s="1"/>
      <c r="C1341" s="1"/>
      <c r="D1341" s="1"/>
    </row>
    <row r="1342" spans="1:4" x14ac:dyDescent="0.2">
      <c r="A1342" s="2"/>
      <c r="B1342" s="1"/>
      <c r="C1342" s="1"/>
      <c r="D1342" s="1"/>
    </row>
    <row r="1343" spans="1:4" x14ac:dyDescent="0.2">
      <c r="A1343" s="2"/>
      <c r="B1343" s="1"/>
      <c r="C1343" s="1"/>
      <c r="D1343" s="1"/>
    </row>
    <row r="1344" spans="1:4" x14ac:dyDescent="0.2">
      <c r="A1344" s="2"/>
      <c r="B1344" s="1"/>
      <c r="C1344" s="1"/>
      <c r="D1344" s="1"/>
    </row>
    <row r="1345" spans="1:4" x14ac:dyDescent="0.2">
      <c r="A1345" s="2"/>
      <c r="B1345" s="1"/>
      <c r="C1345" s="1"/>
      <c r="D1345" s="1"/>
    </row>
    <row r="1346" spans="1:4" x14ac:dyDescent="0.2">
      <c r="A1346" s="2"/>
      <c r="B1346" s="1"/>
      <c r="C1346" s="1"/>
      <c r="D1346" s="1"/>
    </row>
    <row r="1347" spans="1:4" x14ac:dyDescent="0.2">
      <c r="A1347" s="2"/>
      <c r="B1347" s="1"/>
      <c r="C1347" s="1"/>
      <c r="D1347" s="1"/>
    </row>
    <row r="1348" spans="1:4" x14ac:dyDescent="0.2">
      <c r="A1348" s="2"/>
      <c r="B1348" s="1"/>
      <c r="C1348" s="1"/>
      <c r="D1348" s="1"/>
    </row>
    <row r="1349" spans="1:4" x14ac:dyDescent="0.2">
      <c r="A1349" s="2"/>
      <c r="B1349" s="1"/>
      <c r="C1349" s="1"/>
      <c r="D1349" s="1"/>
    </row>
    <row r="1350" spans="1:4" x14ac:dyDescent="0.2">
      <c r="A1350" s="2"/>
      <c r="B1350" s="1"/>
      <c r="C1350" s="1"/>
      <c r="D1350" s="1"/>
    </row>
    <row r="1351" spans="1:4" x14ac:dyDescent="0.2">
      <c r="A1351" s="2"/>
      <c r="B1351" s="1"/>
      <c r="C1351" s="1"/>
      <c r="D1351" s="1"/>
    </row>
    <row r="1352" spans="1:4" x14ac:dyDescent="0.2">
      <c r="A1352" s="2"/>
      <c r="B1352" s="1"/>
      <c r="C1352" s="1"/>
      <c r="D1352" s="1"/>
    </row>
    <row r="1353" spans="1:4" x14ac:dyDescent="0.2">
      <c r="A1353" s="2"/>
      <c r="B1353" s="1"/>
      <c r="C1353" s="1"/>
      <c r="D1353" s="1"/>
    </row>
    <row r="1354" spans="1:4" x14ac:dyDescent="0.2">
      <c r="A1354" s="2"/>
      <c r="B1354" s="1"/>
      <c r="C1354" s="1"/>
      <c r="D1354" s="1"/>
    </row>
    <row r="1355" spans="1:4" x14ac:dyDescent="0.2">
      <c r="A1355" s="2"/>
      <c r="B1355" s="1"/>
      <c r="C1355" s="1"/>
      <c r="D1355" s="1"/>
    </row>
    <row r="1356" spans="1:4" x14ac:dyDescent="0.2">
      <c r="A1356" s="2"/>
      <c r="B1356" s="1"/>
      <c r="C1356" s="1"/>
      <c r="D1356" s="1"/>
    </row>
    <row r="1357" spans="1:4" x14ac:dyDescent="0.2">
      <c r="A1357" s="2"/>
      <c r="B1357" s="1"/>
      <c r="C1357" s="1"/>
      <c r="D1357" s="1"/>
    </row>
    <row r="1358" spans="1:4" x14ac:dyDescent="0.2">
      <c r="A1358" s="2"/>
      <c r="B1358" s="1"/>
      <c r="C1358" s="1"/>
      <c r="D1358" s="1"/>
    </row>
    <row r="1359" spans="1:4" x14ac:dyDescent="0.2">
      <c r="A1359" s="2"/>
      <c r="B1359" s="1"/>
      <c r="C1359" s="1"/>
      <c r="D1359" s="1"/>
    </row>
    <row r="1360" spans="1:4" x14ac:dyDescent="0.2">
      <c r="A1360" s="2"/>
      <c r="B1360" s="1"/>
      <c r="C1360" s="1"/>
      <c r="D1360" s="1"/>
    </row>
    <row r="1361" spans="1:4" x14ac:dyDescent="0.2">
      <c r="A1361" s="2"/>
      <c r="B1361" s="1"/>
      <c r="C1361" s="1"/>
      <c r="D1361" s="1"/>
    </row>
    <row r="1362" spans="1:4" x14ac:dyDescent="0.2">
      <c r="A1362" s="2"/>
      <c r="B1362" s="1"/>
      <c r="C1362" s="1"/>
      <c r="D1362" s="1"/>
    </row>
    <row r="1363" spans="1:4" x14ac:dyDescent="0.2">
      <c r="A1363" s="2"/>
      <c r="B1363" s="1"/>
      <c r="C1363" s="1"/>
      <c r="D1363" s="1"/>
    </row>
    <row r="1364" spans="1:4" x14ac:dyDescent="0.2">
      <c r="A1364" s="2"/>
      <c r="B1364" s="1"/>
      <c r="C1364" s="1"/>
      <c r="D1364" s="1"/>
    </row>
    <row r="1365" spans="1:4" x14ac:dyDescent="0.2">
      <c r="A1365" s="2"/>
      <c r="B1365" s="1"/>
      <c r="C1365" s="1"/>
      <c r="D1365" s="1"/>
    </row>
    <row r="1366" spans="1:4" x14ac:dyDescent="0.2">
      <c r="A1366" s="2"/>
      <c r="B1366" s="1"/>
      <c r="C1366" s="1"/>
      <c r="D1366" s="1"/>
    </row>
    <row r="1367" spans="1:4" x14ac:dyDescent="0.2">
      <c r="A1367" s="2"/>
      <c r="B1367" s="1"/>
      <c r="C1367" s="1"/>
      <c r="D1367" s="1"/>
    </row>
    <row r="1368" spans="1:4" x14ac:dyDescent="0.2">
      <c r="A1368" s="2"/>
      <c r="B1368" s="1"/>
      <c r="C1368" s="1"/>
      <c r="D1368" s="1"/>
    </row>
    <row r="1369" spans="1:4" x14ac:dyDescent="0.2">
      <c r="A1369" s="2"/>
      <c r="B1369" s="1"/>
      <c r="C1369" s="1"/>
      <c r="D1369" s="1"/>
    </row>
    <row r="1370" spans="1:4" x14ac:dyDescent="0.2">
      <c r="A1370" s="2"/>
      <c r="B1370" s="1"/>
      <c r="C1370" s="1"/>
      <c r="D1370" s="1"/>
    </row>
    <row r="1371" spans="1:4" x14ac:dyDescent="0.2">
      <c r="A1371" s="2"/>
      <c r="B1371" s="1"/>
      <c r="C1371" s="1"/>
      <c r="D1371" s="1"/>
    </row>
    <row r="1372" spans="1:4" x14ac:dyDescent="0.2">
      <c r="A1372" s="2"/>
      <c r="B1372" s="1"/>
      <c r="C1372" s="1"/>
      <c r="D1372" s="1"/>
    </row>
    <row r="1373" spans="1:4" x14ac:dyDescent="0.2">
      <c r="A1373" s="2"/>
      <c r="B1373" s="1"/>
      <c r="C1373" s="1"/>
      <c r="D1373" s="1"/>
    </row>
    <row r="1374" spans="1:4" x14ac:dyDescent="0.2">
      <c r="A1374" s="2"/>
      <c r="B1374" s="1"/>
      <c r="C1374" s="1"/>
      <c r="D1374" s="1"/>
    </row>
    <row r="1375" spans="1:4" x14ac:dyDescent="0.2">
      <c r="A1375" s="2"/>
      <c r="B1375" s="1"/>
      <c r="C1375" s="1"/>
      <c r="D1375" s="1"/>
    </row>
    <row r="1376" spans="1:4" x14ac:dyDescent="0.2">
      <c r="A1376" s="2"/>
      <c r="B1376" s="1"/>
      <c r="C1376" s="1"/>
      <c r="D1376" s="1"/>
    </row>
    <row r="1377" spans="1:4" x14ac:dyDescent="0.2">
      <c r="A1377" s="2"/>
      <c r="B1377" s="1"/>
      <c r="C1377" s="1"/>
      <c r="D1377" s="1"/>
    </row>
    <row r="1378" spans="1:4" x14ac:dyDescent="0.2">
      <c r="A1378" s="2"/>
      <c r="B1378" s="1"/>
      <c r="C1378" s="1"/>
      <c r="D1378" s="1"/>
    </row>
    <row r="1379" spans="1:4" x14ac:dyDescent="0.2">
      <c r="A1379" s="2"/>
      <c r="B1379" s="1"/>
      <c r="C1379" s="1"/>
      <c r="D1379" s="1"/>
    </row>
    <row r="1380" spans="1:4" x14ac:dyDescent="0.2">
      <c r="A1380" s="2"/>
      <c r="B1380" s="1"/>
      <c r="C1380" s="1"/>
      <c r="D1380" s="1"/>
    </row>
    <row r="1381" spans="1:4" x14ac:dyDescent="0.2">
      <c r="A1381" s="2"/>
      <c r="B1381" s="1"/>
      <c r="C1381" s="1"/>
      <c r="D1381" s="1"/>
    </row>
    <row r="1382" spans="1:4" x14ac:dyDescent="0.2">
      <c r="A1382" s="2"/>
      <c r="B1382" s="1"/>
      <c r="C1382" s="1"/>
      <c r="D1382" s="1"/>
    </row>
    <row r="1383" spans="1:4" x14ac:dyDescent="0.2">
      <c r="A1383" s="2"/>
      <c r="B1383" s="1"/>
      <c r="C1383" s="1"/>
      <c r="D1383" s="1"/>
    </row>
    <row r="1384" spans="1:4" x14ac:dyDescent="0.2">
      <c r="A1384" s="2"/>
      <c r="B1384" s="1"/>
      <c r="C1384" s="1"/>
      <c r="D1384" s="1"/>
    </row>
    <row r="1385" spans="1:4" x14ac:dyDescent="0.2">
      <c r="A1385" s="2"/>
      <c r="B1385" s="1"/>
      <c r="C1385" s="1"/>
      <c r="D1385" s="1"/>
    </row>
    <row r="1386" spans="1:4" x14ac:dyDescent="0.2">
      <c r="A1386" s="2"/>
      <c r="B1386" s="1"/>
      <c r="C1386" s="1"/>
      <c r="D1386" s="1"/>
    </row>
    <row r="1387" spans="1:4" x14ac:dyDescent="0.2">
      <c r="A1387" s="2"/>
      <c r="B1387" s="1"/>
      <c r="C1387" s="1"/>
      <c r="D1387" s="1"/>
    </row>
    <row r="1388" spans="1:4" x14ac:dyDescent="0.2">
      <c r="A1388" s="2"/>
      <c r="B1388" s="1"/>
      <c r="C1388" s="1"/>
      <c r="D1388" s="1"/>
    </row>
    <row r="1389" spans="1:4" x14ac:dyDescent="0.2">
      <c r="A1389" s="2"/>
      <c r="B1389" s="1"/>
      <c r="C1389" s="1"/>
      <c r="D1389" s="1"/>
    </row>
    <row r="1390" spans="1:4" x14ac:dyDescent="0.2">
      <c r="A1390" s="2"/>
      <c r="B1390" s="1"/>
      <c r="C1390" s="1"/>
      <c r="D1390" s="1"/>
    </row>
    <row r="1391" spans="1:4" x14ac:dyDescent="0.2">
      <c r="A1391" s="2"/>
      <c r="B1391" s="1"/>
      <c r="C1391" s="1"/>
      <c r="D1391" s="1"/>
    </row>
    <row r="1392" spans="1:4" x14ac:dyDescent="0.2">
      <c r="A1392" s="2"/>
      <c r="B1392" s="1"/>
      <c r="C1392" s="1"/>
      <c r="D1392" s="1"/>
    </row>
    <row r="1393" spans="1:4" x14ac:dyDescent="0.2">
      <c r="A1393" s="2"/>
      <c r="B1393" s="1"/>
      <c r="C1393" s="1"/>
      <c r="D1393" s="1"/>
    </row>
    <row r="1394" spans="1:4" x14ac:dyDescent="0.2">
      <c r="A1394" s="2"/>
      <c r="B1394" s="1"/>
      <c r="C1394" s="1"/>
      <c r="D1394" s="1"/>
    </row>
    <row r="1395" spans="1:4" x14ac:dyDescent="0.2">
      <c r="A1395" s="2"/>
      <c r="B1395" s="1"/>
      <c r="C1395" s="1"/>
      <c r="D1395" s="1"/>
    </row>
    <row r="1396" spans="1:4" x14ac:dyDescent="0.2">
      <c r="A1396" s="2"/>
      <c r="B1396" s="1"/>
      <c r="C1396" s="1"/>
      <c r="D1396" s="1"/>
    </row>
    <row r="1397" spans="1:4" x14ac:dyDescent="0.2">
      <c r="A1397" s="2"/>
      <c r="B1397" s="1"/>
      <c r="C1397" s="1"/>
      <c r="D1397" s="1"/>
    </row>
    <row r="1398" spans="1:4" x14ac:dyDescent="0.2">
      <c r="A1398" s="2"/>
      <c r="B1398" s="1"/>
      <c r="C1398" s="1"/>
      <c r="D1398" s="1"/>
    </row>
    <row r="1399" spans="1:4" x14ac:dyDescent="0.2">
      <c r="A1399" s="2"/>
      <c r="B1399" s="1"/>
      <c r="C1399" s="1"/>
      <c r="D1399" s="1"/>
    </row>
    <row r="1400" spans="1:4" x14ac:dyDescent="0.2">
      <c r="A1400" s="2"/>
      <c r="B1400" s="1"/>
      <c r="C1400" s="1"/>
      <c r="D1400" s="1"/>
    </row>
    <row r="1401" spans="1:4" x14ac:dyDescent="0.2">
      <c r="A1401" s="2"/>
      <c r="B1401" s="1"/>
      <c r="C1401" s="1"/>
      <c r="D1401" s="1"/>
    </row>
    <row r="1402" spans="1:4" x14ac:dyDescent="0.2">
      <c r="A1402" s="2"/>
      <c r="B1402" s="1"/>
      <c r="C1402" s="1"/>
      <c r="D1402" s="1"/>
    </row>
    <row r="1403" spans="1:4" x14ac:dyDescent="0.2">
      <c r="A1403" s="2"/>
      <c r="B1403" s="1"/>
      <c r="C1403" s="1"/>
      <c r="D1403" s="1"/>
    </row>
    <row r="1404" spans="1:4" x14ac:dyDescent="0.2">
      <c r="A1404" s="2"/>
      <c r="B1404" s="1"/>
      <c r="C1404" s="1"/>
      <c r="D1404" s="1"/>
    </row>
    <row r="1405" spans="1:4" x14ac:dyDescent="0.2">
      <c r="A1405" s="2"/>
      <c r="B1405" s="1"/>
      <c r="C1405" s="1"/>
      <c r="D1405" s="1"/>
    </row>
    <row r="1406" spans="1:4" x14ac:dyDescent="0.2">
      <c r="A1406" s="2"/>
      <c r="B1406" s="1"/>
      <c r="C1406" s="1"/>
      <c r="D1406" s="1"/>
    </row>
    <row r="1407" spans="1:4" x14ac:dyDescent="0.2">
      <c r="A1407" s="2"/>
      <c r="B1407" s="1"/>
      <c r="C1407" s="1"/>
      <c r="D1407" s="1"/>
    </row>
    <row r="1408" spans="1:4" x14ac:dyDescent="0.2">
      <c r="A1408" s="2"/>
      <c r="B1408" s="1"/>
      <c r="C1408" s="1"/>
      <c r="D1408" s="1"/>
    </row>
    <row r="1409" spans="1:4" x14ac:dyDescent="0.2">
      <c r="A1409" s="2"/>
      <c r="B1409" s="1"/>
      <c r="C1409" s="1"/>
      <c r="D1409" s="1"/>
    </row>
    <row r="1410" spans="1:4" x14ac:dyDescent="0.2">
      <c r="A1410" s="2"/>
      <c r="B1410" s="1"/>
      <c r="C1410" s="1"/>
      <c r="D1410" s="1"/>
    </row>
    <row r="1411" spans="1:4" x14ac:dyDescent="0.2">
      <c r="A1411" s="2"/>
      <c r="B1411" s="1"/>
      <c r="C1411" s="1"/>
      <c r="D1411" s="1"/>
    </row>
    <row r="1412" spans="1:4" x14ac:dyDescent="0.2">
      <c r="A1412" s="2"/>
      <c r="B1412" s="1"/>
      <c r="C1412" s="1"/>
      <c r="D1412" s="1"/>
    </row>
    <row r="1413" spans="1:4" x14ac:dyDescent="0.2">
      <c r="A1413" s="2"/>
      <c r="B1413" s="1"/>
      <c r="C1413" s="1"/>
      <c r="D1413" s="1"/>
    </row>
    <row r="1414" spans="1:4" x14ac:dyDescent="0.2">
      <c r="A1414" s="2"/>
      <c r="B1414" s="1"/>
      <c r="C1414" s="1"/>
      <c r="D1414" s="1"/>
    </row>
    <row r="1415" spans="1:4" x14ac:dyDescent="0.2">
      <c r="A1415" s="2"/>
      <c r="B1415" s="1"/>
      <c r="C1415" s="1"/>
      <c r="D1415" s="1"/>
    </row>
    <row r="1416" spans="1:4" x14ac:dyDescent="0.2">
      <c r="A1416" s="2"/>
      <c r="B1416" s="1"/>
      <c r="C1416" s="1"/>
      <c r="D1416" s="1"/>
    </row>
    <row r="1417" spans="1:4" x14ac:dyDescent="0.2">
      <c r="A1417" s="2"/>
      <c r="B1417" s="1"/>
      <c r="C1417" s="1"/>
      <c r="D1417" s="1"/>
    </row>
    <row r="1418" spans="1:4" x14ac:dyDescent="0.2">
      <c r="A1418" s="2"/>
      <c r="B1418" s="1"/>
      <c r="C1418" s="1"/>
      <c r="D1418" s="1"/>
    </row>
    <row r="1419" spans="1:4" x14ac:dyDescent="0.2">
      <c r="A1419" s="2"/>
      <c r="B1419" s="1"/>
      <c r="C1419" s="1"/>
      <c r="D1419" s="1"/>
    </row>
    <row r="1420" spans="1:4" x14ac:dyDescent="0.2">
      <c r="A1420" s="2"/>
      <c r="B1420" s="1"/>
      <c r="C1420" s="1"/>
      <c r="D1420" s="1"/>
    </row>
    <row r="1421" spans="1:4" x14ac:dyDescent="0.2">
      <c r="A1421" s="2"/>
      <c r="B1421" s="1"/>
      <c r="C1421" s="1"/>
      <c r="D1421" s="1"/>
    </row>
    <row r="1422" spans="1:4" x14ac:dyDescent="0.2">
      <c r="A1422" s="2"/>
      <c r="B1422" s="1"/>
      <c r="C1422" s="1"/>
      <c r="D1422" s="1"/>
    </row>
    <row r="1423" spans="1:4" x14ac:dyDescent="0.2">
      <c r="A1423" s="2"/>
      <c r="B1423" s="1"/>
      <c r="C1423" s="1"/>
      <c r="D1423" s="1"/>
    </row>
    <row r="1424" spans="1:4" x14ac:dyDescent="0.2">
      <c r="A1424" s="2"/>
      <c r="B1424" s="1"/>
      <c r="C1424" s="1"/>
      <c r="D1424" s="1"/>
    </row>
    <row r="1425" spans="1:4" x14ac:dyDescent="0.2">
      <c r="A1425" s="2"/>
      <c r="B1425" s="1"/>
      <c r="C1425" s="1"/>
      <c r="D1425" s="1"/>
    </row>
    <row r="1426" spans="1:4" x14ac:dyDescent="0.2">
      <c r="A1426" s="2"/>
      <c r="B1426" s="1"/>
      <c r="C1426" s="1"/>
      <c r="D1426" s="1"/>
    </row>
    <row r="1427" spans="1:4" x14ac:dyDescent="0.2">
      <c r="A1427" s="2"/>
      <c r="B1427" s="1"/>
      <c r="C1427" s="1"/>
      <c r="D1427" s="1"/>
    </row>
    <row r="1428" spans="1:4" x14ac:dyDescent="0.2">
      <c r="A1428" s="2"/>
      <c r="B1428" s="1"/>
      <c r="C1428" s="1"/>
      <c r="D1428" s="1"/>
    </row>
    <row r="1429" spans="1:4" x14ac:dyDescent="0.2">
      <c r="A1429" s="2"/>
      <c r="B1429" s="1"/>
      <c r="C1429" s="1"/>
      <c r="D1429" s="1"/>
    </row>
    <row r="1430" spans="1:4" x14ac:dyDescent="0.2">
      <c r="A1430" s="2"/>
      <c r="B1430" s="1"/>
      <c r="C1430" s="1"/>
      <c r="D1430" s="1"/>
    </row>
    <row r="1431" spans="1:4" x14ac:dyDescent="0.2">
      <c r="A1431" s="2"/>
      <c r="B1431" s="1"/>
      <c r="C1431" s="1"/>
      <c r="D1431" s="1"/>
    </row>
    <row r="1432" spans="1:4" x14ac:dyDescent="0.2">
      <c r="A1432" s="2"/>
      <c r="B1432" s="1"/>
      <c r="C1432" s="1"/>
      <c r="D1432" s="1"/>
    </row>
    <row r="1433" spans="1:4" x14ac:dyDescent="0.2">
      <c r="A1433" s="2"/>
      <c r="B1433" s="1"/>
      <c r="C1433" s="1"/>
      <c r="D1433" s="1"/>
    </row>
    <row r="1434" spans="1:4" x14ac:dyDescent="0.2">
      <c r="A1434" s="2"/>
      <c r="B1434" s="1"/>
      <c r="C1434" s="1"/>
      <c r="D1434" s="1"/>
    </row>
    <row r="1435" spans="1:4" x14ac:dyDescent="0.2">
      <c r="A1435" s="2"/>
      <c r="B1435" s="1"/>
      <c r="C1435" s="1"/>
      <c r="D1435" s="1"/>
    </row>
    <row r="1436" spans="1:4" x14ac:dyDescent="0.2">
      <c r="A1436" s="2"/>
      <c r="B1436" s="1"/>
      <c r="C1436" s="1"/>
      <c r="D1436" s="1"/>
    </row>
    <row r="1437" spans="1:4" x14ac:dyDescent="0.2">
      <c r="A1437" s="2"/>
      <c r="B1437" s="1"/>
      <c r="C1437" s="1"/>
      <c r="D1437" s="1"/>
    </row>
    <row r="1438" spans="1:4" x14ac:dyDescent="0.2">
      <c r="A1438" s="2"/>
      <c r="B1438" s="1"/>
      <c r="C1438" s="1"/>
      <c r="D1438" s="1"/>
    </row>
    <row r="1439" spans="1:4" x14ac:dyDescent="0.2">
      <c r="A1439" s="2"/>
      <c r="B1439" s="1"/>
      <c r="C1439" s="1"/>
      <c r="D1439" s="1"/>
    </row>
    <row r="1440" spans="1:4" x14ac:dyDescent="0.2">
      <c r="A1440" s="2"/>
      <c r="B1440" s="1"/>
      <c r="C1440" s="1"/>
      <c r="D1440" s="1"/>
    </row>
    <row r="1441" spans="1:4" x14ac:dyDescent="0.2">
      <c r="A1441" s="2"/>
      <c r="B1441" s="1"/>
      <c r="C1441" s="1"/>
      <c r="D1441" s="1"/>
    </row>
    <row r="1442" spans="1:4" x14ac:dyDescent="0.2">
      <c r="A1442" s="2"/>
      <c r="B1442" s="1"/>
      <c r="C1442" s="1"/>
      <c r="D1442" s="1"/>
    </row>
    <row r="1443" spans="1:4" x14ac:dyDescent="0.2">
      <c r="A1443" s="2"/>
      <c r="B1443" s="1"/>
      <c r="C1443" s="1"/>
      <c r="D1443" s="1"/>
    </row>
    <row r="1444" spans="1:4" x14ac:dyDescent="0.2">
      <c r="A1444" s="2"/>
      <c r="B1444" s="1"/>
      <c r="C1444" s="1"/>
      <c r="D1444" s="1"/>
    </row>
    <row r="1445" spans="1:4" x14ac:dyDescent="0.2">
      <c r="A1445" s="2"/>
      <c r="B1445" s="1"/>
      <c r="C1445" s="1"/>
      <c r="D1445" s="1"/>
    </row>
    <row r="1446" spans="1:4" x14ac:dyDescent="0.2">
      <c r="A1446" s="2"/>
      <c r="B1446" s="1"/>
      <c r="C1446" s="1"/>
      <c r="D1446" s="1"/>
    </row>
    <row r="1447" spans="1:4" x14ac:dyDescent="0.2">
      <c r="A1447" s="2"/>
      <c r="B1447" s="1"/>
      <c r="C1447" s="1"/>
      <c r="D1447" s="1"/>
    </row>
    <row r="1448" spans="1:4" x14ac:dyDescent="0.2">
      <c r="A1448" s="2"/>
      <c r="B1448" s="1"/>
      <c r="C1448" s="1"/>
      <c r="D1448" s="1"/>
    </row>
    <row r="1449" spans="1:4" x14ac:dyDescent="0.2">
      <c r="A1449" s="2"/>
      <c r="B1449" s="1"/>
      <c r="C1449" s="1"/>
      <c r="D1449" s="1"/>
    </row>
    <row r="1450" spans="1:4" x14ac:dyDescent="0.2">
      <c r="A1450" s="2"/>
      <c r="B1450" s="1"/>
      <c r="C1450" s="1"/>
      <c r="D1450" s="1"/>
    </row>
    <row r="1451" spans="1:4" x14ac:dyDescent="0.2">
      <c r="A1451" s="2"/>
      <c r="B1451" s="1"/>
      <c r="C1451" s="1"/>
      <c r="D1451" s="1"/>
    </row>
    <row r="1452" spans="1:4" x14ac:dyDescent="0.2">
      <c r="A1452" s="2"/>
      <c r="B1452" s="1"/>
      <c r="C1452" s="1"/>
      <c r="D1452" s="1"/>
    </row>
    <row r="1453" spans="1:4" x14ac:dyDescent="0.2">
      <c r="A1453" s="2"/>
      <c r="B1453" s="1"/>
      <c r="C1453" s="1"/>
      <c r="D1453" s="1"/>
    </row>
    <row r="1454" spans="1:4" x14ac:dyDescent="0.2">
      <c r="A1454" s="2"/>
      <c r="B1454" s="1"/>
      <c r="C1454" s="1"/>
      <c r="D1454" s="1"/>
    </row>
    <row r="1455" spans="1:4" x14ac:dyDescent="0.2">
      <c r="A1455" s="2"/>
      <c r="B1455" s="1"/>
      <c r="C1455" s="1"/>
      <c r="D1455" s="1"/>
    </row>
    <row r="1456" spans="1:4" x14ac:dyDescent="0.2">
      <c r="A1456" s="2"/>
      <c r="B1456" s="1"/>
      <c r="C1456" s="1"/>
      <c r="D1456" s="1"/>
    </row>
    <row r="1457" spans="1:4" x14ac:dyDescent="0.2">
      <c r="A1457" s="2"/>
      <c r="B1457" s="1"/>
      <c r="C1457" s="1"/>
      <c r="D1457" s="1"/>
    </row>
    <row r="1458" spans="1:4" x14ac:dyDescent="0.2">
      <c r="A1458" s="2"/>
      <c r="B1458" s="1"/>
      <c r="C1458" s="1"/>
      <c r="D1458" s="1"/>
    </row>
    <row r="1459" spans="1:4" x14ac:dyDescent="0.2">
      <c r="A1459" s="2"/>
      <c r="B1459" s="1"/>
      <c r="C1459" s="1"/>
      <c r="D1459" s="1"/>
    </row>
    <row r="1460" spans="1:4" x14ac:dyDescent="0.2">
      <c r="A1460" s="2"/>
      <c r="B1460" s="1"/>
      <c r="C1460" s="1"/>
      <c r="D1460" s="1"/>
    </row>
    <row r="1461" spans="1:4" x14ac:dyDescent="0.2">
      <c r="A1461" s="2"/>
      <c r="B1461" s="1"/>
      <c r="C1461" s="1"/>
      <c r="D1461" s="1"/>
    </row>
    <row r="1462" spans="1:4" x14ac:dyDescent="0.2">
      <c r="A1462" s="2"/>
      <c r="B1462" s="1"/>
      <c r="C1462" s="1"/>
      <c r="D1462" s="1"/>
    </row>
    <row r="1463" spans="1:4" x14ac:dyDescent="0.2">
      <c r="A1463" s="2"/>
      <c r="B1463" s="1"/>
      <c r="C1463" s="1"/>
      <c r="D1463" s="1"/>
    </row>
    <row r="1464" spans="1:4" x14ac:dyDescent="0.2">
      <c r="A1464" s="2"/>
      <c r="B1464" s="1"/>
      <c r="C1464" s="1"/>
      <c r="D1464" s="1"/>
    </row>
    <row r="1465" spans="1:4" x14ac:dyDescent="0.2">
      <c r="A1465" s="2"/>
      <c r="B1465" s="1"/>
      <c r="C1465" s="1"/>
      <c r="D1465" s="1"/>
    </row>
    <row r="1466" spans="1:4" x14ac:dyDescent="0.2">
      <c r="A1466" s="2"/>
      <c r="B1466" s="1"/>
      <c r="C1466" s="1"/>
      <c r="D1466" s="1"/>
    </row>
    <row r="1467" spans="1:4" x14ac:dyDescent="0.2">
      <c r="A1467" s="2"/>
      <c r="B1467" s="1"/>
      <c r="C1467" s="1"/>
      <c r="D1467" s="1"/>
    </row>
    <row r="1468" spans="1:4" x14ac:dyDescent="0.2">
      <c r="A1468" s="2"/>
      <c r="B1468" s="1"/>
      <c r="C1468" s="1"/>
      <c r="D1468" s="1"/>
    </row>
    <row r="1469" spans="1:4" x14ac:dyDescent="0.2">
      <c r="A1469" s="2"/>
      <c r="B1469" s="1"/>
      <c r="C1469" s="1"/>
      <c r="D1469" s="1"/>
    </row>
    <row r="1470" spans="1:4" x14ac:dyDescent="0.2">
      <c r="A1470" s="2"/>
      <c r="B1470" s="1"/>
      <c r="C1470" s="1"/>
      <c r="D1470" s="1"/>
    </row>
    <row r="1471" spans="1:4" x14ac:dyDescent="0.2">
      <c r="A1471" s="2"/>
      <c r="B1471" s="1"/>
      <c r="C1471" s="1"/>
      <c r="D1471" s="1"/>
    </row>
    <row r="1472" spans="1:4" x14ac:dyDescent="0.2">
      <c r="A1472" s="2"/>
      <c r="B1472" s="1"/>
      <c r="C1472" s="1"/>
      <c r="D1472" s="1"/>
    </row>
    <row r="1473" spans="1:4" x14ac:dyDescent="0.2">
      <c r="A1473" s="2"/>
      <c r="B1473" s="1"/>
      <c r="C1473" s="1"/>
      <c r="D1473" s="1"/>
    </row>
    <row r="1474" spans="1:4" x14ac:dyDescent="0.2">
      <c r="A1474" s="2"/>
      <c r="B1474" s="1"/>
      <c r="C1474" s="1"/>
      <c r="D1474" s="1"/>
    </row>
    <row r="1475" spans="1:4" x14ac:dyDescent="0.2">
      <c r="A1475" s="2"/>
      <c r="B1475" s="1"/>
      <c r="C1475" s="1"/>
      <c r="D1475" s="1"/>
    </row>
    <row r="1476" spans="1:4" x14ac:dyDescent="0.2">
      <c r="A1476" s="2"/>
      <c r="B1476" s="1"/>
      <c r="C1476" s="1"/>
      <c r="D1476" s="1"/>
    </row>
    <row r="1477" spans="1:4" x14ac:dyDescent="0.2">
      <c r="A1477" s="2"/>
      <c r="B1477" s="1"/>
      <c r="C1477" s="1"/>
      <c r="D1477" s="1"/>
    </row>
    <row r="1478" spans="1:4" x14ac:dyDescent="0.2">
      <c r="A1478" s="2"/>
      <c r="B1478" s="1"/>
      <c r="C1478" s="1"/>
      <c r="D1478" s="1"/>
    </row>
    <row r="1479" spans="1:4" x14ac:dyDescent="0.2">
      <c r="A1479" s="2"/>
      <c r="B1479" s="1"/>
      <c r="C1479" s="1"/>
      <c r="D1479" s="1"/>
    </row>
    <row r="1480" spans="1:4" x14ac:dyDescent="0.2">
      <c r="A1480" s="2"/>
      <c r="B1480" s="1"/>
      <c r="C1480" s="1"/>
      <c r="D1480" s="1"/>
    </row>
    <row r="1481" spans="1:4" x14ac:dyDescent="0.2">
      <c r="A1481" s="2"/>
      <c r="B1481" s="1"/>
      <c r="C1481" s="1"/>
      <c r="D1481" s="1"/>
    </row>
    <row r="1482" spans="1:4" x14ac:dyDescent="0.2">
      <c r="A1482" s="2"/>
      <c r="B1482" s="1"/>
      <c r="C1482" s="1"/>
      <c r="D1482" s="1"/>
    </row>
    <row r="1483" spans="1:4" x14ac:dyDescent="0.2">
      <c r="A1483" s="2"/>
      <c r="B1483" s="1"/>
      <c r="C1483" s="1"/>
      <c r="D1483" s="1"/>
    </row>
    <row r="1484" spans="1:4" x14ac:dyDescent="0.2">
      <c r="A1484" s="2"/>
      <c r="B1484" s="1"/>
      <c r="C1484" s="1"/>
      <c r="D1484" s="1"/>
    </row>
    <row r="1485" spans="1:4" x14ac:dyDescent="0.2">
      <c r="A1485" s="2"/>
      <c r="B1485" s="1"/>
      <c r="C1485" s="1"/>
      <c r="D1485" s="1"/>
    </row>
    <row r="1486" spans="1:4" x14ac:dyDescent="0.2">
      <c r="A1486" s="2"/>
      <c r="B1486" s="1"/>
      <c r="C1486" s="1"/>
      <c r="D1486" s="1"/>
    </row>
    <row r="1487" spans="1:4" x14ac:dyDescent="0.2">
      <c r="A1487" s="2"/>
      <c r="B1487" s="1"/>
      <c r="C1487" s="1"/>
      <c r="D1487" s="1"/>
    </row>
    <row r="1488" spans="1:4" x14ac:dyDescent="0.2">
      <c r="A1488" s="2"/>
      <c r="B1488" s="1"/>
      <c r="C1488" s="1"/>
      <c r="D1488" s="1"/>
    </row>
    <row r="1489" spans="1:4" x14ac:dyDescent="0.2">
      <c r="A1489" s="2"/>
      <c r="B1489" s="1"/>
      <c r="C1489" s="1"/>
      <c r="D1489" s="1"/>
    </row>
    <row r="1490" spans="1:4" x14ac:dyDescent="0.2">
      <c r="A1490" s="2"/>
      <c r="B1490" s="1"/>
      <c r="C1490" s="1"/>
      <c r="D1490" s="1"/>
    </row>
    <row r="1491" spans="1:4" x14ac:dyDescent="0.2">
      <c r="A1491" s="2"/>
      <c r="B1491" s="1"/>
      <c r="C1491" s="1"/>
      <c r="D1491" s="1"/>
    </row>
    <row r="1492" spans="1:4" x14ac:dyDescent="0.2">
      <c r="A1492" s="2"/>
      <c r="B1492" s="1"/>
      <c r="C1492" s="1"/>
      <c r="D1492" s="1"/>
    </row>
    <row r="1493" spans="1:4" x14ac:dyDescent="0.2">
      <c r="A1493" s="2"/>
      <c r="B1493" s="1"/>
      <c r="C1493" s="1"/>
      <c r="D1493" s="1"/>
    </row>
    <row r="1494" spans="1:4" x14ac:dyDescent="0.2">
      <c r="A1494" s="2"/>
      <c r="B1494" s="1"/>
      <c r="C1494" s="1"/>
      <c r="D1494" s="1"/>
    </row>
    <row r="1495" spans="1:4" x14ac:dyDescent="0.2">
      <c r="A1495" s="2"/>
      <c r="B1495" s="1"/>
      <c r="C1495" s="1"/>
      <c r="D1495" s="1"/>
    </row>
    <row r="1496" spans="1:4" x14ac:dyDescent="0.2">
      <c r="A1496" s="2"/>
      <c r="B1496" s="1"/>
      <c r="C1496" s="1"/>
      <c r="D1496" s="1"/>
    </row>
    <row r="1497" spans="1:4" x14ac:dyDescent="0.2">
      <c r="A1497" s="2"/>
      <c r="B1497" s="1"/>
      <c r="C1497" s="1"/>
      <c r="D1497" s="1"/>
    </row>
    <row r="1498" spans="1:4" x14ac:dyDescent="0.2">
      <c r="A1498" s="2"/>
      <c r="B1498" s="1"/>
      <c r="C1498" s="1"/>
      <c r="D1498" s="1"/>
    </row>
    <row r="1499" spans="1:4" x14ac:dyDescent="0.2">
      <c r="A1499" s="2"/>
      <c r="B1499" s="1"/>
      <c r="C1499" s="1"/>
      <c r="D1499" s="1"/>
    </row>
    <row r="1500" spans="1:4" x14ac:dyDescent="0.2">
      <c r="A1500" s="2"/>
      <c r="B1500" s="1"/>
      <c r="C1500" s="1"/>
      <c r="D1500" s="1"/>
    </row>
    <row r="1501" spans="1:4" x14ac:dyDescent="0.2">
      <c r="A1501" s="2"/>
      <c r="B1501" s="1"/>
      <c r="C1501" s="1"/>
      <c r="D1501" s="1"/>
    </row>
    <row r="1502" spans="1:4" x14ac:dyDescent="0.2">
      <c r="A1502" s="2"/>
      <c r="B1502" s="1"/>
      <c r="C1502" s="1"/>
      <c r="D1502" s="1"/>
    </row>
    <row r="1503" spans="1:4" x14ac:dyDescent="0.2">
      <c r="A1503" s="2"/>
      <c r="B1503" s="1"/>
      <c r="C1503" s="1"/>
      <c r="D1503" s="1"/>
    </row>
    <row r="1504" spans="1:4" x14ac:dyDescent="0.2">
      <c r="A1504" s="2"/>
      <c r="B1504" s="1"/>
      <c r="C1504" s="1"/>
      <c r="D1504" s="1"/>
    </row>
    <row r="1505" spans="1:4" x14ac:dyDescent="0.2">
      <c r="A1505" s="2"/>
      <c r="B1505" s="1"/>
      <c r="C1505" s="1"/>
      <c r="D1505" s="1"/>
    </row>
    <row r="1506" spans="1:4" x14ac:dyDescent="0.2">
      <c r="A1506" s="2"/>
      <c r="B1506" s="1"/>
      <c r="C1506" s="1"/>
      <c r="D1506" s="1"/>
    </row>
    <row r="1507" spans="1:4" x14ac:dyDescent="0.2">
      <c r="A1507" s="2"/>
      <c r="B1507" s="1"/>
      <c r="C1507" s="1"/>
      <c r="D1507" s="1"/>
    </row>
    <row r="1508" spans="1:4" x14ac:dyDescent="0.2">
      <c r="A1508" s="2"/>
      <c r="B1508" s="1"/>
      <c r="C1508" s="1"/>
      <c r="D1508" s="1"/>
    </row>
    <row r="1509" spans="1:4" x14ac:dyDescent="0.2">
      <c r="A1509" s="2"/>
      <c r="B1509" s="1"/>
      <c r="C1509" s="1"/>
      <c r="D1509" s="1"/>
    </row>
    <row r="1510" spans="1:4" x14ac:dyDescent="0.2">
      <c r="A1510" s="2"/>
      <c r="B1510" s="1"/>
      <c r="C1510" s="1"/>
      <c r="D1510" s="1"/>
    </row>
    <row r="1511" spans="1:4" x14ac:dyDescent="0.2">
      <c r="A1511" s="2"/>
      <c r="B1511" s="1"/>
      <c r="C1511" s="1"/>
      <c r="D1511" s="1"/>
    </row>
    <row r="1512" spans="1:4" x14ac:dyDescent="0.2">
      <c r="A1512" s="2"/>
      <c r="B1512" s="1"/>
      <c r="C1512" s="1"/>
      <c r="D1512" s="1"/>
    </row>
    <row r="1513" spans="1:4" x14ac:dyDescent="0.2">
      <c r="A1513" s="2"/>
      <c r="B1513" s="1"/>
      <c r="C1513" s="1"/>
      <c r="D1513" s="1"/>
    </row>
    <row r="1514" spans="1:4" x14ac:dyDescent="0.2">
      <c r="A1514" t="s">
        <v>0</v>
      </c>
      <c r="B1514" s="1">
        <f>SUBTOTAL(109,Current_Registrations_by_ZIP_Code[PHEV/EREV])</f>
        <v>25513</v>
      </c>
      <c r="C1514" s="1">
        <f>SUBTOTAL(109,Current_Registrations_by_ZIP_Code[BEV])</f>
        <v>16947</v>
      </c>
      <c r="D1514" s="1">
        <f>SUBTOTAL(109,Current_Registrations_by_ZIP_Code[Total EVs])</f>
        <v>42460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8908D-1F31-4ED8-B729-1E8F01B55A50}">
  <sheetPr>
    <tabColor theme="5"/>
  </sheetPr>
  <dimension ref="A1:C63"/>
  <sheetViews>
    <sheetView topLeftCell="A9" workbookViewId="0">
      <selection activeCell="A63" sqref="A63"/>
    </sheetView>
  </sheetViews>
  <sheetFormatPr baseColWidth="10" defaultColWidth="8.83203125" defaultRowHeight="15" x14ac:dyDescent="0.2"/>
  <cols>
    <col min="1" max="1" width="11.6640625" bestFit="1" customWidth="1"/>
    <col min="2" max="2" width="20" bestFit="1" customWidth="1"/>
    <col min="3" max="3" width="14" style="1" bestFit="1" customWidth="1"/>
  </cols>
  <sheetData>
    <row r="1" spans="1:3" x14ac:dyDescent="0.2">
      <c r="A1"/>
      <c r="B1"/>
      <c r="C1" s="1"/>
    </row>
    <row r="2" spans="1:3" x14ac:dyDescent="0.2">
      <c r="A2"/>
      <c r="B2"/>
      <c r="C2" s="1"/>
    </row>
    <row r="3" spans="1:3" x14ac:dyDescent="0.2">
      <c r="A3"/>
      <c r="B3"/>
      <c r="C3" s="1"/>
    </row>
    <row r="4" spans="1:3" x14ac:dyDescent="0.2">
      <c r="A4"/>
      <c r="B4"/>
      <c r="C4" s="1"/>
    </row>
    <row r="5" spans="1:3" x14ac:dyDescent="0.2">
      <c r="A5"/>
      <c r="B5"/>
      <c r="C5" s="1"/>
    </row>
    <row r="6" spans="1:3" x14ac:dyDescent="0.2">
      <c r="A6"/>
      <c r="B6"/>
      <c r="C6" s="1"/>
    </row>
    <row r="7" spans="1:3" x14ac:dyDescent="0.2">
      <c r="A7"/>
      <c r="B7"/>
      <c r="C7" s="1"/>
    </row>
    <row r="8" spans="1:3" x14ac:dyDescent="0.2">
      <c r="A8"/>
      <c r="B8"/>
      <c r="C8" s="1"/>
    </row>
    <row r="9" spans="1:3" x14ac:dyDescent="0.2">
      <c r="A9"/>
      <c r="B9"/>
      <c r="C9" s="1"/>
    </row>
    <row r="10" spans="1:3" x14ac:dyDescent="0.2">
      <c r="A10"/>
      <c r="B10"/>
      <c r="C10" s="1"/>
    </row>
    <row r="11" spans="1:3" x14ac:dyDescent="0.2">
      <c r="A11"/>
      <c r="B11"/>
      <c r="C11" s="1"/>
    </row>
    <row r="12" spans="1:3" x14ac:dyDescent="0.2">
      <c r="A12"/>
      <c r="B12"/>
      <c r="C12" s="1"/>
    </row>
    <row r="13" spans="1:3" x14ac:dyDescent="0.2">
      <c r="A13"/>
      <c r="B13"/>
      <c r="C13" s="1"/>
    </row>
    <row r="14" spans="1:3" x14ac:dyDescent="0.2">
      <c r="A14"/>
      <c r="B14"/>
      <c r="C14" s="1"/>
    </row>
    <row r="15" spans="1:3" x14ac:dyDescent="0.2">
      <c r="A15"/>
      <c r="B15"/>
      <c r="C15" s="1"/>
    </row>
    <row r="16" spans="1:3" x14ac:dyDescent="0.2">
      <c r="A16"/>
      <c r="B16"/>
      <c r="C16" s="1"/>
    </row>
    <row r="17" spans="1:3" x14ac:dyDescent="0.2">
      <c r="A17"/>
      <c r="B17"/>
      <c r="C17" s="1"/>
    </row>
    <row r="18" spans="1:3" x14ac:dyDescent="0.2">
      <c r="A18"/>
      <c r="B18"/>
      <c r="C18" s="1"/>
    </row>
    <row r="19" spans="1:3" x14ac:dyDescent="0.2">
      <c r="A19"/>
      <c r="B19"/>
      <c r="C19" s="1"/>
    </row>
    <row r="20" spans="1:3" x14ac:dyDescent="0.2">
      <c r="A20"/>
      <c r="B20"/>
      <c r="C20" s="1"/>
    </row>
    <row r="21" spans="1:3" x14ac:dyDescent="0.2">
      <c r="A21"/>
      <c r="B21"/>
      <c r="C21" s="1"/>
    </row>
    <row r="22" spans="1:3" x14ac:dyDescent="0.2">
      <c r="A22"/>
      <c r="B22"/>
      <c r="C22" s="1"/>
    </row>
    <row r="23" spans="1:3" x14ac:dyDescent="0.2">
      <c r="A23"/>
      <c r="B23"/>
      <c r="C23" s="1"/>
    </row>
    <row r="24" spans="1:3" x14ac:dyDescent="0.2">
      <c r="A24"/>
      <c r="B24"/>
      <c r="C24" s="1"/>
    </row>
    <row r="25" spans="1:3" x14ac:dyDescent="0.2">
      <c r="A25"/>
      <c r="B25"/>
      <c r="C25" s="1"/>
    </row>
    <row r="26" spans="1:3" x14ac:dyDescent="0.2">
      <c r="A26"/>
      <c r="B26"/>
      <c r="C26" s="1"/>
    </row>
    <row r="27" spans="1:3" x14ac:dyDescent="0.2">
      <c r="A27"/>
      <c r="B27"/>
      <c r="C27" s="1"/>
    </row>
    <row r="28" spans="1:3" x14ac:dyDescent="0.2">
      <c r="A28"/>
      <c r="B28"/>
      <c r="C28" s="1"/>
    </row>
    <row r="29" spans="1:3" x14ac:dyDescent="0.2">
      <c r="A29"/>
      <c r="B29"/>
      <c r="C29" s="1"/>
    </row>
    <row r="30" spans="1:3" x14ac:dyDescent="0.2">
      <c r="A30"/>
      <c r="B30"/>
      <c r="C30" s="1"/>
    </row>
    <row r="31" spans="1:3" x14ac:dyDescent="0.2">
      <c r="A31"/>
      <c r="B31"/>
      <c r="C31" s="1"/>
    </row>
    <row r="32" spans="1:3" x14ac:dyDescent="0.2">
      <c r="A32"/>
      <c r="B32"/>
      <c r="C32" s="1"/>
    </row>
    <row r="33" spans="1:3" x14ac:dyDescent="0.2">
      <c r="A33"/>
      <c r="B33"/>
      <c r="C33" s="1"/>
    </row>
    <row r="34" spans="1:3" x14ac:dyDescent="0.2">
      <c r="A34"/>
      <c r="B34"/>
      <c r="C34" s="1"/>
    </row>
    <row r="35" spans="1:3" x14ac:dyDescent="0.2">
      <c r="A35"/>
      <c r="B35"/>
      <c r="C35" s="1"/>
    </row>
    <row r="36" spans="1:3" x14ac:dyDescent="0.2">
      <c r="A36"/>
      <c r="B36"/>
      <c r="C36" s="1"/>
    </row>
    <row r="37" spans="1:3" x14ac:dyDescent="0.2">
      <c r="A37"/>
      <c r="B37"/>
      <c r="C37" s="1"/>
    </row>
    <row r="38" spans="1:3" x14ac:dyDescent="0.2">
      <c r="A38"/>
      <c r="B38"/>
      <c r="C38" s="1"/>
    </row>
    <row r="39" spans="1:3" x14ac:dyDescent="0.2">
      <c r="A39"/>
      <c r="B39"/>
      <c r="C39" s="1"/>
    </row>
    <row r="40" spans="1:3" x14ac:dyDescent="0.2">
      <c r="A40"/>
      <c r="B40"/>
      <c r="C40" s="1"/>
    </row>
    <row r="41" spans="1:3" x14ac:dyDescent="0.2">
      <c r="A41"/>
      <c r="B41"/>
      <c r="C41" s="1"/>
    </row>
    <row r="42" spans="1:3" x14ac:dyDescent="0.2">
      <c r="A42"/>
      <c r="B42"/>
      <c r="C42" s="1"/>
    </row>
    <row r="43" spans="1:3" x14ac:dyDescent="0.2">
      <c r="A43"/>
      <c r="B43"/>
      <c r="C43" s="1"/>
    </row>
    <row r="44" spans="1:3" x14ac:dyDescent="0.2">
      <c r="A44"/>
      <c r="B44"/>
      <c r="C44" s="1"/>
    </row>
    <row r="45" spans="1:3" x14ac:dyDescent="0.2">
      <c r="A45"/>
      <c r="B45"/>
      <c r="C45" s="1"/>
    </row>
    <row r="46" spans="1:3" x14ac:dyDescent="0.2">
      <c r="A46"/>
      <c r="B46"/>
      <c r="C46" s="1"/>
    </row>
    <row r="47" spans="1:3" x14ac:dyDescent="0.2">
      <c r="A47"/>
      <c r="B47"/>
      <c r="C47" s="1"/>
    </row>
    <row r="48" spans="1:3" x14ac:dyDescent="0.2">
      <c r="A48"/>
      <c r="B48"/>
      <c r="C48" s="1"/>
    </row>
    <row r="49" spans="1:3" x14ac:dyDescent="0.2">
      <c r="A49"/>
      <c r="B49"/>
      <c r="C49" s="1"/>
    </row>
    <row r="50" spans="1:3" x14ac:dyDescent="0.2">
      <c r="A50"/>
      <c r="B50"/>
      <c r="C50" s="1"/>
    </row>
    <row r="51" spans="1:3" x14ac:dyDescent="0.2">
      <c r="A51"/>
      <c r="B51"/>
      <c r="C51" s="1"/>
    </row>
    <row r="52" spans="1:3" x14ac:dyDescent="0.2">
      <c r="A52"/>
      <c r="B52"/>
      <c r="C52" s="1"/>
    </row>
    <row r="53" spans="1:3" x14ac:dyDescent="0.2">
      <c r="A53"/>
      <c r="B53"/>
      <c r="C53" s="1"/>
    </row>
    <row r="54" spans="1:3" x14ac:dyDescent="0.2">
      <c r="A54"/>
      <c r="B54"/>
      <c r="C54" s="1"/>
    </row>
    <row r="55" spans="1:3" x14ac:dyDescent="0.2">
      <c r="A55"/>
      <c r="B55"/>
      <c r="C55" s="1"/>
    </row>
    <row r="56" spans="1:3" x14ac:dyDescent="0.2">
      <c r="A56"/>
      <c r="B56"/>
      <c r="C56" s="1"/>
    </row>
    <row r="57" spans="1:3" x14ac:dyDescent="0.2">
      <c r="A57"/>
      <c r="B57"/>
      <c r="C57" s="1"/>
    </row>
    <row r="58" spans="1:3" x14ac:dyDescent="0.2">
      <c r="A58"/>
      <c r="B58"/>
      <c r="C58" s="1"/>
    </row>
    <row r="59" spans="1:3" x14ac:dyDescent="0.2">
      <c r="A59"/>
      <c r="B59"/>
      <c r="C59" s="1"/>
    </row>
    <row r="60" spans="1:3" x14ac:dyDescent="0.2">
      <c r="A60"/>
      <c r="B60"/>
      <c r="C60" s="1"/>
    </row>
    <row r="61" spans="1:3" x14ac:dyDescent="0.2">
      <c r="A61"/>
      <c r="B61"/>
      <c r="C61" s="1"/>
    </row>
    <row r="62" spans="1:3" x14ac:dyDescent="0.2">
      <c r="A62"/>
      <c r="B62"/>
      <c r="C62" s="1"/>
    </row>
    <row r="63" spans="1:3" x14ac:dyDescent="0.2">
      <c r="A63" t="s">
        <v>0</v>
      </c>
      <c r="C63" s="1">
        <f>SUBTOTAL(109,Current_Registrations_by_Vehicle_Make_and_Model[Registrations])</f>
        <v>42460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FB22-0F0F-4A7F-BBB5-1D629D1640FC}">
  <sheetPr>
    <tabColor theme="4"/>
  </sheetPr>
  <dimension ref="A1:D66"/>
  <sheetViews>
    <sheetView tabSelected="1" workbookViewId="0">
      <selection activeCell="K20" sqref="K20"/>
    </sheetView>
  </sheetViews>
  <sheetFormatPr baseColWidth="10" defaultColWidth="8.83203125" defaultRowHeight="15" x14ac:dyDescent="0.2"/>
  <cols>
    <col min="1" max="1" width="18.1640625" bestFit="1" customWidth="1"/>
    <col min="2" max="2" width="12.6640625" bestFit="1" customWidth="1"/>
    <col min="3" max="3" width="6.33203125" bestFit="1" customWidth="1"/>
    <col min="4" max="4" width="10.83203125" bestFit="1" customWidth="1"/>
  </cols>
  <sheetData>
    <row r="1" spans="1:4" x14ac:dyDescent="0.2">
      <c r="A1"/>
      <c r="B1"/>
      <c r="C1"/>
      <c r="D1"/>
    </row>
    <row r="2" spans="1:4" x14ac:dyDescent="0.2">
      <c r="A2"/>
      <c r="B2" s="1"/>
      <c r="C2" s="1"/>
      <c r="D2" s="1"/>
    </row>
    <row r="3" spans="1:4" x14ac:dyDescent="0.2">
      <c r="A3"/>
      <c r="B3" s="1"/>
      <c r="C3" s="1"/>
      <c r="D3" s="1"/>
    </row>
    <row r="4" spans="1:4" x14ac:dyDescent="0.2">
      <c r="A4"/>
      <c r="B4" s="1"/>
      <c r="C4" s="1"/>
      <c r="D4" s="1"/>
    </row>
    <row r="5" spans="1:4" x14ac:dyDescent="0.2">
      <c r="A5"/>
      <c r="B5" s="1"/>
      <c r="C5" s="1"/>
      <c r="D5" s="1"/>
    </row>
    <row r="6" spans="1:4" x14ac:dyDescent="0.2">
      <c r="A6"/>
      <c r="B6" s="1"/>
      <c r="C6" s="1"/>
      <c r="D6" s="1"/>
    </row>
    <row r="7" spans="1:4" x14ac:dyDescent="0.2">
      <c r="A7"/>
      <c r="B7" s="1"/>
      <c r="C7" s="1"/>
      <c r="D7" s="1"/>
    </row>
    <row r="8" spans="1:4" x14ac:dyDescent="0.2">
      <c r="A8"/>
      <c r="B8" s="1"/>
      <c r="C8" s="1"/>
      <c r="D8" s="1"/>
    </row>
    <row r="9" spans="1:4" x14ac:dyDescent="0.2">
      <c r="A9"/>
      <c r="B9" s="1"/>
      <c r="C9" s="1"/>
      <c r="D9" s="1"/>
    </row>
    <row r="10" spans="1:4" x14ac:dyDescent="0.2">
      <c r="A10"/>
      <c r="B10" s="1"/>
      <c r="C10" s="1"/>
      <c r="D10" s="1"/>
    </row>
    <row r="11" spans="1:4" x14ac:dyDescent="0.2">
      <c r="A11"/>
      <c r="B11" s="1"/>
      <c r="C11" s="1"/>
      <c r="D11" s="1"/>
    </row>
    <row r="12" spans="1:4" x14ac:dyDescent="0.2">
      <c r="A12"/>
      <c r="B12" s="1"/>
      <c r="C12" s="1"/>
      <c r="D12" s="1"/>
    </row>
    <row r="13" spans="1:4" x14ac:dyDescent="0.2">
      <c r="A13"/>
      <c r="B13" s="1"/>
      <c r="C13" s="1"/>
      <c r="D13" s="1"/>
    </row>
    <row r="14" spans="1:4" x14ac:dyDescent="0.2">
      <c r="A14"/>
      <c r="B14" s="1"/>
      <c r="C14" s="1"/>
      <c r="D14" s="1"/>
    </row>
    <row r="15" spans="1:4" x14ac:dyDescent="0.2">
      <c r="A15"/>
      <c r="B15" s="1"/>
      <c r="C15" s="1"/>
      <c r="D15" s="1"/>
    </row>
    <row r="16" spans="1:4" x14ac:dyDescent="0.2">
      <c r="A16"/>
      <c r="B16" s="1"/>
      <c r="C16" s="1"/>
      <c r="D16" s="1"/>
    </row>
    <row r="17" spans="1:4" x14ac:dyDescent="0.2">
      <c r="A17"/>
      <c r="B17" s="1"/>
      <c r="C17" s="1"/>
      <c r="D17" s="1"/>
    </row>
    <row r="18" spans="1:4" x14ac:dyDescent="0.2">
      <c r="A18"/>
      <c r="B18" s="1"/>
      <c r="C18" s="1"/>
      <c r="D18" s="1"/>
    </row>
    <row r="19" spans="1:4" x14ac:dyDescent="0.2">
      <c r="A19"/>
      <c r="B19" s="1"/>
      <c r="C19" s="1"/>
      <c r="D19" s="1"/>
    </row>
    <row r="20" spans="1:4" x14ac:dyDescent="0.2">
      <c r="A20"/>
      <c r="B20" s="1"/>
      <c r="C20" s="1"/>
      <c r="D20" s="1"/>
    </row>
    <row r="21" spans="1:4" x14ac:dyDescent="0.2">
      <c r="A21"/>
      <c r="B21" s="1"/>
      <c r="C21" s="1"/>
      <c r="D21" s="1"/>
    </row>
    <row r="22" spans="1:4" x14ac:dyDescent="0.2">
      <c r="A22"/>
      <c r="B22" s="1"/>
      <c r="C22" s="1"/>
      <c r="D22" s="1"/>
    </row>
    <row r="23" spans="1:4" x14ac:dyDescent="0.2">
      <c r="A23"/>
      <c r="B23" s="1"/>
      <c r="C23" s="1"/>
      <c r="D23" s="1"/>
    </row>
    <row r="24" spans="1:4" x14ac:dyDescent="0.2">
      <c r="A24"/>
      <c r="B24" s="1"/>
      <c r="C24" s="1"/>
      <c r="D24" s="1"/>
    </row>
    <row r="25" spans="1:4" x14ac:dyDescent="0.2">
      <c r="A25"/>
      <c r="B25" s="1"/>
      <c r="C25" s="1"/>
      <c r="D25" s="1"/>
    </row>
    <row r="26" spans="1:4" x14ac:dyDescent="0.2">
      <c r="A26"/>
      <c r="B26" s="1"/>
      <c r="C26" s="1"/>
      <c r="D26" s="1"/>
    </row>
    <row r="27" spans="1:4" x14ac:dyDescent="0.2">
      <c r="A27"/>
      <c r="B27" s="1"/>
      <c r="C27" s="1"/>
      <c r="D27" s="1"/>
    </row>
    <row r="28" spans="1:4" x14ac:dyDescent="0.2">
      <c r="A28"/>
      <c r="B28" s="1"/>
      <c r="C28" s="1"/>
      <c r="D28" s="1"/>
    </row>
    <row r="29" spans="1:4" x14ac:dyDescent="0.2">
      <c r="A29"/>
      <c r="B29" s="1"/>
      <c r="C29" s="1"/>
      <c r="D29" s="1"/>
    </row>
    <row r="30" spans="1:4" x14ac:dyDescent="0.2">
      <c r="A30"/>
      <c r="B30" s="1"/>
      <c r="C30" s="1"/>
      <c r="D30" s="1"/>
    </row>
    <row r="31" spans="1:4" x14ac:dyDescent="0.2">
      <c r="A31"/>
      <c r="B31" s="1"/>
      <c r="C31" s="1"/>
      <c r="D31" s="1"/>
    </row>
    <row r="32" spans="1:4" x14ac:dyDescent="0.2">
      <c r="A32"/>
      <c r="B32" s="1"/>
      <c r="C32" s="1"/>
      <c r="D32" s="1"/>
    </row>
    <row r="33" spans="1:4" x14ac:dyDescent="0.2">
      <c r="A33"/>
      <c r="B33" s="1"/>
      <c r="C33" s="1"/>
      <c r="D33" s="1"/>
    </row>
    <row r="34" spans="1:4" x14ac:dyDescent="0.2">
      <c r="A34"/>
      <c r="B34" s="1"/>
      <c r="C34" s="1"/>
      <c r="D34" s="1"/>
    </row>
    <row r="35" spans="1:4" x14ac:dyDescent="0.2">
      <c r="A35"/>
      <c r="B35" s="1"/>
      <c r="C35" s="1"/>
      <c r="D35" s="1"/>
    </row>
    <row r="36" spans="1:4" x14ac:dyDescent="0.2">
      <c r="A36"/>
      <c r="B36" s="1"/>
      <c r="C36" s="1"/>
      <c r="D36" s="1"/>
    </row>
    <row r="37" spans="1:4" x14ac:dyDescent="0.2">
      <c r="A37"/>
      <c r="B37" s="1"/>
      <c r="C37" s="1"/>
      <c r="D37" s="1"/>
    </row>
    <row r="38" spans="1:4" x14ac:dyDescent="0.2">
      <c r="A38"/>
      <c r="B38" s="1"/>
      <c r="C38" s="1"/>
      <c r="D38" s="1"/>
    </row>
    <row r="39" spans="1:4" x14ac:dyDescent="0.2">
      <c r="A39"/>
      <c r="B39" s="1"/>
      <c r="C39" s="1"/>
      <c r="D39" s="1"/>
    </row>
    <row r="40" spans="1:4" x14ac:dyDescent="0.2">
      <c r="A40"/>
      <c r="B40" s="1"/>
      <c r="C40" s="1"/>
      <c r="D40" s="1"/>
    </row>
    <row r="41" spans="1:4" x14ac:dyDescent="0.2">
      <c r="A41"/>
      <c r="B41" s="1"/>
      <c r="C41" s="1"/>
      <c r="D41" s="1"/>
    </row>
    <row r="42" spans="1:4" x14ac:dyDescent="0.2">
      <c r="A42"/>
      <c r="B42" s="1"/>
      <c r="C42" s="1"/>
      <c r="D42" s="1"/>
    </row>
    <row r="43" spans="1:4" x14ac:dyDescent="0.2">
      <c r="A43"/>
      <c r="B43" s="1"/>
      <c r="C43" s="1"/>
      <c r="D43" s="1"/>
    </row>
    <row r="44" spans="1:4" x14ac:dyDescent="0.2">
      <c r="A44"/>
      <c r="B44" s="1"/>
      <c r="C44" s="1"/>
      <c r="D44" s="1"/>
    </row>
    <row r="45" spans="1:4" x14ac:dyDescent="0.2">
      <c r="A45"/>
      <c r="B45" s="1"/>
      <c r="C45" s="1"/>
      <c r="D45" s="1"/>
    </row>
    <row r="46" spans="1:4" x14ac:dyDescent="0.2">
      <c r="A46"/>
      <c r="B46" s="1"/>
      <c r="C46" s="1"/>
      <c r="D46" s="1"/>
    </row>
    <row r="47" spans="1:4" x14ac:dyDescent="0.2">
      <c r="A47"/>
      <c r="B47" s="1"/>
      <c r="C47" s="1"/>
      <c r="D47" s="1"/>
    </row>
    <row r="48" spans="1:4" x14ac:dyDescent="0.2">
      <c r="A48"/>
      <c r="B48" s="1"/>
      <c r="C48" s="1"/>
      <c r="D48" s="1"/>
    </row>
    <row r="49" spans="1:4" x14ac:dyDescent="0.2">
      <c r="A49"/>
      <c r="B49" s="1"/>
      <c r="C49" s="1"/>
      <c r="D49" s="1"/>
    </row>
    <row r="50" spans="1:4" x14ac:dyDescent="0.2">
      <c r="A50"/>
      <c r="B50" s="1"/>
      <c r="C50" s="1"/>
      <c r="D50" s="1"/>
    </row>
    <row r="51" spans="1:4" x14ac:dyDescent="0.2">
      <c r="A51"/>
      <c r="B51" s="1"/>
      <c r="C51" s="1"/>
      <c r="D51" s="1"/>
    </row>
    <row r="52" spans="1:4" x14ac:dyDescent="0.2">
      <c r="A52"/>
      <c r="B52" s="1"/>
      <c r="C52" s="1"/>
      <c r="D52" s="1"/>
    </row>
    <row r="53" spans="1:4" x14ac:dyDescent="0.2">
      <c r="A53"/>
      <c r="B53" s="1"/>
      <c r="C53" s="1"/>
      <c r="D53" s="1"/>
    </row>
    <row r="54" spans="1:4" x14ac:dyDescent="0.2">
      <c r="A54"/>
      <c r="B54" s="1"/>
      <c r="C54" s="1"/>
      <c r="D54" s="1"/>
    </row>
    <row r="55" spans="1:4" x14ac:dyDescent="0.2">
      <c r="A55"/>
      <c r="B55" s="1"/>
      <c r="C55" s="1"/>
      <c r="D55" s="1"/>
    </row>
    <row r="56" spans="1:4" x14ac:dyDescent="0.2">
      <c r="A56"/>
      <c r="B56" s="1"/>
      <c r="C56" s="1"/>
      <c r="D56" s="1"/>
    </row>
    <row r="57" spans="1:4" x14ac:dyDescent="0.2">
      <c r="A57"/>
      <c r="B57" s="1"/>
      <c r="C57" s="1"/>
      <c r="D57" s="1"/>
    </row>
    <row r="58" spans="1:4" x14ac:dyDescent="0.2">
      <c r="A58"/>
      <c r="B58" s="1"/>
      <c r="C58" s="1"/>
      <c r="D58" s="1"/>
    </row>
    <row r="59" spans="1:4" x14ac:dyDescent="0.2">
      <c r="A59"/>
      <c r="B59" s="1"/>
      <c r="C59" s="1"/>
      <c r="D59" s="1"/>
    </row>
    <row r="60" spans="1:4" x14ac:dyDescent="0.2">
      <c r="A60"/>
      <c r="B60" s="1"/>
      <c r="C60" s="1"/>
      <c r="D60" s="1"/>
    </row>
    <row r="61" spans="1:4" x14ac:dyDescent="0.2">
      <c r="A61"/>
      <c r="B61" s="1"/>
      <c r="C61" s="1"/>
      <c r="D61" s="1"/>
    </row>
    <row r="62" spans="1:4" x14ac:dyDescent="0.2">
      <c r="A62"/>
      <c r="B62" s="1"/>
      <c r="C62" s="1"/>
      <c r="D62" s="1"/>
    </row>
    <row r="63" spans="1:4" x14ac:dyDescent="0.2">
      <c r="A63"/>
      <c r="B63" s="1"/>
      <c r="C63" s="1"/>
      <c r="D63" s="1"/>
    </row>
    <row r="64" spans="1:4" x14ac:dyDescent="0.2">
      <c r="A64"/>
      <c r="B64" s="1"/>
      <c r="C64" s="1"/>
      <c r="D64" s="1"/>
    </row>
    <row r="65" spans="1:4" x14ac:dyDescent="0.2">
      <c r="A65"/>
      <c r="B65" s="1"/>
      <c r="C65" s="1"/>
      <c r="D65" s="1"/>
    </row>
    <row r="66" spans="1:4" x14ac:dyDescent="0.2">
      <c r="A66" t="s">
        <v>0</v>
      </c>
      <c r="B66" s="1">
        <f>SUBTOTAL(109,Current_Registrations_by_County[PHEV/EREV])</f>
        <v>25513</v>
      </c>
      <c r="C66" s="1">
        <f>SUBTOTAL(109,Current_Registrations_by_County[BEV])</f>
        <v>16947</v>
      </c>
      <c r="D66" s="1">
        <f>SUBTOTAL(109,Current_Registrations_by_County[Total EVs])</f>
        <v>42460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E6A2-B8A3-417E-A4EF-C81D3D25FBB3}">
  <sheetPr>
    <tabColor theme="7"/>
  </sheetPr>
  <dimension ref="A1:F60"/>
  <sheetViews>
    <sheetView topLeftCell="A25" workbookViewId="0">
      <selection activeCell="D42" sqref="D31:D42"/>
    </sheetView>
  </sheetViews>
  <sheetFormatPr baseColWidth="10" defaultColWidth="8.83203125" defaultRowHeight="15" x14ac:dyDescent="0.2"/>
  <cols>
    <col min="1" max="1" width="6.83203125" bestFit="1" customWidth="1"/>
    <col min="2" max="2" width="14.1640625" bestFit="1" customWidth="1"/>
    <col min="3" max="3" width="12.6640625" style="1" bestFit="1" customWidth="1"/>
    <col min="4" max="4" width="6.33203125" style="1" bestFit="1" customWidth="1"/>
    <col min="5" max="5" width="10.83203125" style="1" bestFit="1" customWidth="1"/>
    <col min="6" max="6" width="7.6640625" style="1" bestFit="1" customWidth="1"/>
  </cols>
  <sheetData>
    <row r="1" spans="1:6" x14ac:dyDescent="0.2">
      <c r="A1"/>
      <c r="B1"/>
      <c r="C1" s="1"/>
      <c r="D1" s="1"/>
      <c r="E1" s="1"/>
      <c r="F1"/>
    </row>
    <row r="2" spans="1:6" x14ac:dyDescent="0.2">
      <c r="A2"/>
      <c r="B2" s="2"/>
      <c r="C2" s="1"/>
      <c r="D2" s="1"/>
      <c r="E2" s="1"/>
      <c r="F2"/>
    </row>
    <row r="3" spans="1:6" x14ac:dyDescent="0.2">
      <c r="A3"/>
      <c r="B3" s="2"/>
      <c r="C3" s="1"/>
      <c r="D3" s="1"/>
      <c r="E3" s="1"/>
      <c r="F3"/>
    </row>
    <row r="4" spans="1:6" x14ac:dyDescent="0.2">
      <c r="A4"/>
      <c r="B4" s="2"/>
      <c r="C4" s="1"/>
      <c r="D4" s="1"/>
      <c r="E4" s="1"/>
      <c r="F4"/>
    </row>
    <row r="5" spans="1:6" x14ac:dyDescent="0.2">
      <c r="A5"/>
      <c r="B5" s="2"/>
      <c r="C5" s="1"/>
      <c r="D5" s="1"/>
      <c r="E5" s="1"/>
      <c r="F5"/>
    </row>
    <row r="6" spans="1:6" x14ac:dyDescent="0.2">
      <c r="A6"/>
      <c r="B6" s="2"/>
      <c r="C6" s="1"/>
      <c r="D6" s="1"/>
      <c r="E6" s="1"/>
      <c r="F6"/>
    </row>
    <row r="7" spans="1:6" x14ac:dyDescent="0.2">
      <c r="A7"/>
      <c r="B7" s="2"/>
      <c r="C7" s="1"/>
      <c r="D7" s="1"/>
      <c r="E7" s="1"/>
      <c r="F7"/>
    </row>
    <row r="8" spans="1:6" x14ac:dyDescent="0.2">
      <c r="A8"/>
      <c r="B8" s="2"/>
      <c r="C8" s="1"/>
      <c r="D8" s="1"/>
      <c r="E8" s="1"/>
      <c r="F8"/>
    </row>
    <row r="9" spans="1:6" x14ac:dyDescent="0.2">
      <c r="A9"/>
      <c r="B9" s="2"/>
      <c r="C9" s="1"/>
      <c r="D9" s="1"/>
      <c r="E9" s="1"/>
      <c r="F9"/>
    </row>
    <row r="10" spans="1:6" x14ac:dyDescent="0.2">
      <c r="A10"/>
      <c r="B10" s="2"/>
      <c r="C10" s="1"/>
      <c r="D10" s="1"/>
      <c r="E10" s="1"/>
      <c r="F10"/>
    </row>
    <row r="11" spans="1:6" x14ac:dyDescent="0.2">
      <c r="A11"/>
      <c r="B11" s="2"/>
      <c r="C11" s="1"/>
      <c r="D11" s="1"/>
      <c r="E11" s="1"/>
      <c r="F11"/>
    </row>
    <row r="12" spans="1:6" x14ac:dyDescent="0.2">
      <c r="A12"/>
      <c r="B12" s="2"/>
      <c r="C12" s="1"/>
      <c r="D12" s="1"/>
      <c r="E12" s="1"/>
      <c r="F12"/>
    </row>
    <row r="13" spans="1:6" x14ac:dyDescent="0.2">
      <c r="A13"/>
      <c r="B13" s="2"/>
      <c r="C13" s="1"/>
      <c r="D13" s="1"/>
      <c r="E13" s="1"/>
      <c r="F13"/>
    </row>
    <row r="14" spans="1:6" x14ac:dyDescent="0.2">
      <c r="A14"/>
      <c r="B14" s="2"/>
      <c r="C14" s="1"/>
      <c r="D14" s="1"/>
      <c r="E14" s="1"/>
      <c r="F14"/>
    </row>
    <row r="15" spans="1:6" x14ac:dyDescent="0.2">
      <c r="A15"/>
      <c r="B15" s="2"/>
      <c r="C15" s="1"/>
      <c r="D15" s="1"/>
      <c r="E15" s="1"/>
      <c r="F15"/>
    </row>
    <row r="16" spans="1:6" x14ac:dyDescent="0.2">
      <c r="A16"/>
      <c r="B16" s="2"/>
      <c r="C16" s="1"/>
      <c r="D16" s="1"/>
      <c r="E16" s="1"/>
      <c r="F16"/>
    </row>
    <row r="17" spans="1:6" x14ac:dyDescent="0.2">
      <c r="A17"/>
      <c r="B17" s="2"/>
      <c r="C17" s="1"/>
      <c r="D17" s="1"/>
      <c r="E17" s="1"/>
      <c r="F17"/>
    </row>
    <row r="18" spans="1:6" x14ac:dyDescent="0.2">
      <c r="A18"/>
      <c r="B18" s="2"/>
      <c r="C18" s="1"/>
      <c r="D18" s="1"/>
      <c r="E18" s="1"/>
      <c r="F18"/>
    </row>
    <row r="19" spans="1:6" x14ac:dyDescent="0.2">
      <c r="A19"/>
      <c r="B19" s="2"/>
      <c r="C19" s="1"/>
      <c r="D19" s="1"/>
      <c r="E19" s="1"/>
      <c r="F19"/>
    </row>
    <row r="20" spans="1:6" x14ac:dyDescent="0.2">
      <c r="A20"/>
      <c r="B20" s="2"/>
      <c r="C20" s="1"/>
      <c r="D20" s="1"/>
      <c r="E20" s="1"/>
      <c r="F20"/>
    </row>
    <row r="21" spans="1:6" x14ac:dyDescent="0.2">
      <c r="A21"/>
      <c r="B21" s="2"/>
      <c r="C21" s="1"/>
      <c r="D21" s="1"/>
      <c r="E21" s="1"/>
      <c r="F21"/>
    </row>
    <row r="22" spans="1:6" x14ac:dyDescent="0.2">
      <c r="A22"/>
      <c r="B22" s="2"/>
      <c r="C22" s="1"/>
      <c r="D22" s="1"/>
      <c r="E22" s="1"/>
      <c r="F22"/>
    </row>
    <row r="23" spans="1:6" x14ac:dyDescent="0.2">
      <c r="A23"/>
      <c r="B23" s="2"/>
      <c r="C23" s="1"/>
      <c r="D23" s="1"/>
      <c r="E23" s="1"/>
      <c r="F23"/>
    </row>
    <row r="24" spans="1:6" x14ac:dyDescent="0.2">
      <c r="A24"/>
      <c r="B24" s="2"/>
      <c r="C24" s="1"/>
      <c r="D24" s="1"/>
      <c r="E24" s="1"/>
      <c r="F24"/>
    </row>
    <row r="25" spans="1:6" x14ac:dyDescent="0.2">
      <c r="A25"/>
      <c r="B25" s="2"/>
      <c r="C25" s="1"/>
      <c r="D25" s="1"/>
      <c r="E25" s="1"/>
      <c r="F25"/>
    </row>
    <row r="26" spans="1:6" x14ac:dyDescent="0.2">
      <c r="A26"/>
      <c r="B26" s="2"/>
      <c r="C26" s="1"/>
      <c r="D26" s="1"/>
      <c r="E26" s="1"/>
      <c r="F26"/>
    </row>
    <row r="27" spans="1:6" x14ac:dyDescent="0.2">
      <c r="A27"/>
      <c r="B27" s="2"/>
      <c r="C27" s="1"/>
      <c r="D27" s="1"/>
      <c r="E27" s="1"/>
      <c r="F27"/>
    </row>
    <row r="28" spans="1:6" x14ac:dyDescent="0.2">
      <c r="A28"/>
      <c r="B28" s="2"/>
      <c r="C28" s="1"/>
      <c r="D28" s="1"/>
      <c r="E28" s="1"/>
      <c r="F28"/>
    </row>
    <row r="29" spans="1:6" x14ac:dyDescent="0.2">
      <c r="A29"/>
      <c r="B29" s="2"/>
      <c r="C29" s="1"/>
      <c r="D29" s="1"/>
      <c r="E29" s="1"/>
      <c r="F29"/>
    </row>
    <row r="30" spans="1:6" x14ac:dyDescent="0.2">
      <c r="A30"/>
      <c r="B30" s="2"/>
      <c r="C30" s="1"/>
      <c r="D30" s="1"/>
      <c r="E30" s="1"/>
      <c r="F30"/>
    </row>
    <row r="31" spans="1:6" x14ac:dyDescent="0.2">
      <c r="A31"/>
      <c r="B31" s="2"/>
      <c r="C31" s="1"/>
      <c r="D31" s="1"/>
      <c r="E31" s="1"/>
      <c r="F31"/>
    </row>
    <row r="32" spans="1:6" x14ac:dyDescent="0.2">
      <c r="A32"/>
      <c r="B32" s="2"/>
      <c r="C32" s="1"/>
      <c r="D32" s="1"/>
      <c r="E32" s="1"/>
      <c r="F32"/>
    </row>
    <row r="33" spans="1:6" x14ac:dyDescent="0.2">
      <c r="A33"/>
      <c r="B33" s="2"/>
      <c r="C33" s="1"/>
      <c r="D33" s="1"/>
      <c r="E33" s="1"/>
      <c r="F33"/>
    </row>
    <row r="34" spans="1:6" x14ac:dyDescent="0.2">
      <c r="A34"/>
      <c r="B34" s="2"/>
      <c r="C34" s="1"/>
      <c r="D34" s="1"/>
      <c r="E34" s="1"/>
      <c r="F34"/>
    </row>
    <row r="35" spans="1:6" x14ac:dyDescent="0.2">
      <c r="A35"/>
      <c r="B35" s="2"/>
      <c r="C35" s="1"/>
      <c r="D35" s="1"/>
      <c r="E35" s="1"/>
      <c r="F35"/>
    </row>
    <row r="36" spans="1:6" x14ac:dyDescent="0.2">
      <c r="A36"/>
      <c r="B36" s="2"/>
      <c r="C36" s="1"/>
      <c r="D36" s="1"/>
      <c r="E36" s="1"/>
      <c r="F36"/>
    </row>
    <row r="37" spans="1:6" x14ac:dyDescent="0.2">
      <c r="A37"/>
      <c r="B37" s="2"/>
      <c r="C37" s="1"/>
      <c r="D37" s="1"/>
      <c r="E37" s="1"/>
      <c r="F37"/>
    </row>
    <row r="38" spans="1:6" x14ac:dyDescent="0.2">
      <c r="A38"/>
      <c r="B38" s="2"/>
      <c r="C38" s="1"/>
      <c r="D38" s="1"/>
      <c r="E38" s="1"/>
      <c r="F38"/>
    </row>
    <row r="39" spans="1:6" x14ac:dyDescent="0.2">
      <c r="A39"/>
      <c r="B39" s="2"/>
      <c r="C39" s="1"/>
      <c r="D39" s="1"/>
      <c r="E39" s="1"/>
      <c r="F39"/>
    </row>
    <row r="40" spans="1:6" x14ac:dyDescent="0.2">
      <c r="A40"/>
      <c r="B40" s="2"/>
      <c r="C40" s="1"/>
      <c r="D40" s="1"/>
      <c r="E40" s="1"/>
      <c r="F40"/>
    </row>
    <row r="41" spans="1:6" x14ac:dyDescent="0.2">
      <c r="A41"/>
      <c r="B41" s="2"/>
      <c r="C41" s="1"/>
      <c r="D41" s="1"/>
      <c r="E41" s="1"/>
      <c r="F41"/>
    </row>
    <row r="42" spans="1:6" x14ac:dyDescent="0.2">
      <c r="A42"/>
      <c r="B42" s="2"/>
      <c r="C42" s="1"/>
      <c r="D42" s="1"/>
      <c r="E42" s="1"/>
      <c r="F42"/>
    </row>
    <row r="43" spans="1:6" x14ac:dyDescent="0.2">
      <c r="A43"/>
      <c r="B43" s="2"/>
      <c r="C43" s="1"/>
      <c r="D43" s="1"/>
      <c r="E43" s="1"/>
      <c r="F43"/>
    </row>
    <row r="44" spans="1:6" x14ac:dyDescent="0.2">
      <c r="A44"/>
      <c r="B44" s="2"/>
      <c r="C44" s="1"/>
      <c r="D44" s="1"/>
      <c r="E44" s="1"/>
      <c r="F44"/>
    </row>
    <row r="45" spans="1:6" x14ac:dyDescent="0.2">
      <c r="A45"/>
      <c r="B45" s="2"/>
      <c r="C45" s="1"/>
      <c r="D45" s="1"/>
      <c r="E45" s="1"/>
      <c r="F45"/>
    </row>
    <row r="46" spans="1:6" x14ac:dyDescent="0.2">
      <c r="A46"/>
      <c r="B46" s="2"/>
      <c r="C46" s="1"/>
      <c r="D46" s="1"/>
      <c r="E46" s="1"/>
      <c r="F46"/>
    </row>
    <row r="47" spans="1:6" x14ac:dyDescent="0.2">
      <c r="A47"/>
      <c r="B47" s="2"/>
      <c r="C47" s="1"/>
      <c r="D47" s="1"/>
      <c r="E47" s="1"/>
      <c r="F47"/>
    </row>
    <row r="48" spans="1:6" x14ac:dyDescent="0.2">
      <c r="A48"/>
      <c r="B48" s="2"/>
      <c r="C48" s="1"/>
      <c r="D48" s="1"/>
      <c r="E48" s="1"/>
      <c r="F48"/>
    </row>
    <row r="49" spans="1:6" x14ac:dyDescent="0.2">
      <c r="A49" t="s">
        <v>0</v>
      </c>
      <c r="C49" s="1">
        <f>SUBTOTAL(109,Original_Registrations_by_Month_and_Year[PHEV/EREV])</f>
        <v>36802</v>
      </c>
      <c r="D49" s="1">
        <f>SUBTOTAL(109,Original_Registrations_by_Month_and_Year[BEV])</f>
        <v>21476</v>
      </c>
      <c r="E49" s="1">
        <f>SUBTOTAL(109,Original_Registrations_by_Month_and_Year[Total EVs])</f>
        <v>58278</v>
      </c>
      <c r="F49"/>
    </row>
    <row r="50" spans="1:6" x14ac:dyDescent="0.2">
      <c r="F50"/>
    </row>
    <row r="51" spans="1:6" x14ac:dyDescent="0.2">
      <c r="F51"/>
    </row>
    <row r="52" spans="1:6" x14ac:dyDescent="0.2">
      <c r="F52"/>
    </row>
    <row r="53" spans="1:6" x14ac:dyDescent="0.2">
      <c r="F53"/>
    </row>
    <row r="54" spans="1:6" x14ac:dyDescent="0.2">
      <c r="F54"/>
    </row>
    <row r="55" spans="1:6" x14ac:dyDescent="0.2">
      <c r="F55"/>
    </row>
    <row r="56" spans="1:6" x14ac:dyDescent="0.2">
      <c r="F56"/>
    </row>
    <row r="57" spans="1:6" x14ac:dyDescent="0.2">
      <c r="F57"/>
    </row>
    <row r="58" spans="1:6" x14ac:dyDescent="0.2">
      <c r="F58"/>
    </row>
    <row r="59" spans="1:6" x14ac:dyDescent="0.2">
      <c r="F59"/>
    </row>
    <row r="60" spans="1:6" x14ac:dyDescent="0.2">
      <c r="F6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8158-4D01-43E7-8A06-92AAB9623A79}">
  <sheetPr>
    <tabColor theme="7"/>
  </sheetPr>
  <dimension ref="A1:F368"/>
  <sheetViews>
    <sheetView topLeftCell="A14" workbookViewId="0">
      <selection activeCell="B3" sqref="B3"/>
    </sheetView>
  </sheetViews>
  <sheetFormatPr baseColWidth="10" defaultColWidth="8.83203125" defaultRowHeight="15" x14ac:dyDescent="0.2"/>
  <cols>
    <col min="1" max="1" width="6.83203125" bestFit="1" customWidth="1"/>
    <col min="2" max="2" width="9.6640625" bestFit="1" customWidth="1"/>
    <col min="3" max="3" width="11.6640625" bestFit="1" customWidth="1"/>
    <col min="4" max="4" width="12.6640625" style="1" bestFit="1" customWidth="1"/>
    <col min="5" max="5" width="6.33203125" style="1" bestFit="1" customWidth="1"/>
    <col min="6" max="6" width="10.83203125" style="1" bestFit="1" customWidth="1"/>
  </cols>
  <sheetData>
    <row r="1" spans="1:6" x14ac:dyDescent="0.2">
      <c r="A1"/>
      <c r="B1"/>
      <c r="C1"/>
      <c r="D1" s="1"/>
      <c r="E1" s="1"/>
      <c r="F1" s="1"/>
    </row>
    <row r="2" spans="1:6" x14ac:dyDescent="0.2">
      <c r="A2"/>
      <c r="B2"/>
      <c r="C2" s="2"/>
      <c r="D2" s="1"/>
      <c r="E2" s="1"/>
      <c r="F2" s="1"/>
    </row>
    <row r="3" spans="1:6" x14ac:dyDescent="0.2">
      <c r="A3"/>
      <c r="B3"/>
      <c r="C3" s="2"/>
      <c r="D3" s="1"/>
      <c r="E3" s="1"/>
      <c r="F3" s="1"/>
    </row>
    <row r="4" spans="1:6" x14ac:dyDescent="0.2">
      <c r="A4"/>
      <c r="B4"/>
      <c r="C4" s="2"/>
      <c r="D4" s="1"/>
      <c r="E4" s="1"/>
      <c r="F4" s="1"/>
    </row>
    <row r="5" spans="1:6" x14ac:dyDescent="0.2">
      <c r="A5"/>
      <c r="B5"/>
      <c r="C5" s="2"/>
      <c r="D5" s="1"/>
      <c r="E5" s="1"/>
      <c r="F5" s="1"/>
    </row>
    <row r="6" spans="1:6" x14ac:dyDescent="0.2">
      <c r="A6"/>
      <c r="B6"/>
      <c r="C6" s="2"/>
      <c r="D6" s="1"/>
      <c r="E6" s="1"/>
      <c r="F6" s="1"/>
    </row>
    <row r="7" spans="1:6" x14ac:dyDescent="0.2">
      <c r="A7"/>
      <c r="B7"/>
      <c r="C7" s="2"/>
      <c r="D7" s="1"/>
      <c r="E7" s="1"/>
      <c r="F7" s="1"/>
    </row>
    <row r="8" spans="1:6" x14ac:dyDescent="0.2">
      <c r="A8"/>
      <c r="B8"/>
      <c r="C8" s="2"/>
      <c r="D8" s="1"/>
      <c r="E8" s="1"/>
      <c r="F8" s="1"/>
    </row>
    <row r="9" spans="1:6" x14ac:dyDescent="0.2">
      <c r="A9"/>
      <c r="B9"/>
      <c r="C9" s="2"/>
      <c r="D9" s="1"/>
      <c r="E9" s="1"/>
      <c r="F9" s="1"/>
    </row>
    <row r="10" spans="1:6" x14ac:dyDescent="0.2">
      <c r="A10"/>
      <c r="B10"/>
      <c r="C10" s="2"/>
      <c r="D10" s="1"/>
      <c r="E10" s="1"/>
      <c r="F10" s="1"/>
    </row>
    <row r="11" spans="1:6" x14ac:dyDescent="0.2">
      <c r="A11"/>
      <c r="B11"/>
      <c r="C11" s="2"/>
      <c r="D11" s="1"/>
      <c r="E11" s="1"/>
      <c r="F11" s="1"/>
    </row>
    <row r="12" spans="1:6" x14ac:dyDescent="0.2">
      <c r="A12"/>
      <c r="B12"/>
      <c r="C12" s="2"/>
      <c r="D12" s="1"/>
      <c r="E12" s="1"/>
      <c r="F12" s="1"/>
    </row>
    <row r="13" spans="1:6" x14ac:dyDescent="0.2">
      <c r="A13"/>
      <c r="B13"/>
      <c r="C13" s="2"/>
      <c r="D13" s="1"/>
      <c r="E13" s="1"/>
      <c r="F13" s="1"/>
    </row>
    <row r="14" spans="1:6" x14ac:dyDescent="0.2">
      <c r="A14"/>
      <c r="B14"/>
      <c r="C14" s="2"/>
      <c r="D14" s="1"/>
      <c r="E14" s="1"/>
      <c r="F14" s="1"/>
    </row>
    <row r="15" spans="1:6" x14ac:dyDescent="0.2">
      <c r="A15"/>
      <c r="B15"/>
      <c r="C15" s="2"/>
      <c r="D15" s="1"/>
      <c r="E15" s="1"/>
      <c r="F15" s="1"/>
    </row>
    <row r="16" spans="1:6" x14ac:dyDescent="0.2">
      <c r="A16"/>
      <c r="B16"/>
      <c r="C16" s="2"/>
      <c r="D16" s="1"/>
      <c r="E16" s="1"/>
      <c r="F16" s="1"/>
    </row>
    <row r="17" spans="1:6" x14ac:dyDescent="0.2">
      <c r="A17"/>
      <c r="B17"/>
      <c r="C17" s="2"/>
      <c r="D17" s="1"/>
      <c r="E17" s="1"/>
      <c r="F17" s="1"/>
    </row>
    <row r="18" spans="1:6" x14ac:dyDescent="0.2">
      <c r="A18"/>
      <c r="B18"/>
      <c r="C18" s="2"/>
      <c r="D18" s="1"/>
      <c r="E18" s="1"/>
      <c r="F18" s="1"/>
    </row>
    <row r="19" spans="1:6" x14ac:dyDescent="0.2">
      <c r="A19"/>
      <c r="B19"/>
      <c r="C19" s="2"/>
      <c r="D19" s="1"/>
      <c r="E19" s="1"/>
      <c r="F19" s="1"/>
    </row>
    <row r="20" spans="1:6" x14ac:dyDescent="0.2">
      <c r="A20"/>
      <c r="B20"/>
      <c r="C20" s="2"/>
      <c r="D20" s="1"/>
      <c r="E20" s="1"/>
      <c r="F20" s="1"/>
    </row>
    <row r="21" spans="1:6" x14ac:dyDescent="0.2">
      <c r="A21"/>
      <c r="B21"/>
      <c r="C21" s="2"/>
      <c r="D21" s="1"/>
      <c r="E21" s="1"/>
      <c r="F21" s="1"/>
    </row>
    <row r="22" spans="1:6" x14ac:dyDescent="0.2">
      <c r="A22"/>
      <c r="B22"/>
      <c r="C22" s="2"/>
      <c r="D22" s="1"/>
      <c r="E22" s="1"/>
      <c r="F22" s="1"/>
    </row>
    <row r="23" spans="1:6" x14ac:dyDescent="0.2">
      <c r="A23"/>
      <c r="B23"/>
      <c r="C23" s="2"/>
      <c r="D23" s="1"/>
      <c r="E23" s="1"/>
      <c r="F23" s="1"/>
    </row>
    <row r="24" spans="1:6" x14ac:dyDescent="0.2">
      <c r="A24"/>
      <c r="B24"/>
      <c r="C24" s="2"/>
      <c r="D24" s="1"/>
      <c r="E24" s="1"/>
      <c r="F24" s="1"/>
    </row>
    <row r="25" spans="1:6" x14ac:dyDescent="0.2">
      <c r="A25"/>
      <c r="B25"/>
      <c r="C25" s="2"/>
      <c r="D25" s="1"/>
      <c r="E25" s="1"/>
      <c r="F25" s="1"/>
    </row>
    <row r="26" spans="1:6" x14ac:dyDescent="0.2">
      <c r="A26"/>
      <c r="B26"/>
      <c r="C26" s="2"/>
      <c r="D26" s="1"/>
      <c r="E26" s="1"/>
      <c r="F26" s="1"/>
    </row>
    <row r="27" spans="1:6" x14ac:dyDescent="0.2">
      <c r="A27"/>
      <c r="B27"/>
      <c r="C27" s="2"/>
      <c r="D27" s="1"/>
      <c r="E27" s="1"/>
      <c r="F27" s="1"/>
    </row>
    <row r="28" spans="1:6" x14ac:dyDescent="0.2">
      <c r="A28"/>
      <c r="B28"/>
      <c r="C28" s="2"/>
      <c r="D28" s="1"/>
      <c r="E28" s="1"/>
      <c r="F28" s="1"/>
    </row>
    <row r="29" spans="1:6" x14ac:dyDescent="0.2">
      <c r="A29"/>
      <c r="B29"/>
      <c r="C29" s="2"/>
      <c r="D29" s="1"/>
      <c r="E29" s="1"/>
      <c r="F29" s="1"/>
    </row>
    <row r="30" spans="1:6" x14ac:dyDescent="0.2">
      <c r="A30"/>
      <c r="B30"/>
      <c r="C30" s="2"/>
      <c r="D30" s="1"/>
      <c r="E30" s="1"/>
      <c r="F30" s="1"/>
    </row>
    <row r="31" spans="1:6" x14ac:dyDescent="0.2">
      <c r="A31"/>
      <c r="B31"/>
      <c r="C31" s="2"/>
      <c r="D31" s="1"/>
      <c r="E31" s="1"/>
      <c r="F31" s="1"/>
    </row>
    <row r="32" spans="1:6" x14ac:dyDescent="0.2">
      <c r="A32"/>
      <c r="B32"/>
      <c r="C32" s="2"/>
      <c r="D32" s="1"/>
      <c r="E32" s="1"/>
      <c r="F32" s="1"/>
    </row>
    <row r="33" spans="1:6" x14ac:dyDescent="0.2">
      <c r="A33"/>
      <c r="B33"/>
      <c r="C33" s="2"/>
      <c r="D33" s="1"/>
      <c r="E33" s="1"/>
      <c r="F33" s="1"/>
    </row>
    <row r="34" spans="1:6" x14ac:dyDescent="0.2">
      <c r="A34"/>
      <c r="B34"/>
      <c r="C34" s="2"/>
      <c r="D34" s="1"/>
      <c r="E34" s="1"/>
      <c r="F34" s="1"/>
    </row>
    <row r="35" spans="1:6" x14ac:dyDescent="0.2">
      <c r="A35"/>
      <c r="B35"/>
      <c r="C35" s="2"/>
      <c r="D35" s="1"/>
      <c r="E35" s="1"/>
      <c r="F35" s="1"/>
    </row>
    <row r="36" spans="1:6" x14ac:dyDescent="0.2">
      <c r="A36"/>
      <c r="B36"/>
      <c r="C36" s="2"/>
      <c r="D36" s="1"/>
      <c r="E36" s="1"/>
      <c r="F36" s="1"/>
    </row>
    <row r="37" spans="1:6" x14ac:dyDescent="0.2">
      <c r="A37"/>
      <c r="B37"/>
      <c r="C37" s="2"/>
      <c r="D37" s="1"/>
      <c r="E37" s="1"/>
      <c r="F37" s="1"/>
    </row>
    <row r="38" spans="1:6" x14ac:dyDescent="0.2">
      <c r="A38"/>
      <c r="B38"/>
      <c r="C38" s="2"/>
      <c r="D38" s="1"/>
      <c r="E38" s="1"/>
      <c r="F38" s="1"/>
    </row>
    <row r="39" spans="1:6" x14ac:dyDescent="0.2">
      <c r="A39"/>
      <c r="B39"/>
      <c r="C39" s="2"/>
      <c r="D39" s="1"/>
      <c r="E39" s="1"/>
      <c r="F39" s="1"/>
    </row>
    <row r="40" spans="1:6" x14ac:dyDescent="0.2">
      <c r="A40"/>
      <c r="B40"/>
      <c r="C40" s="2"/>
      <c r="D40" s="1"/>
      <c r="E40" s="1"/>
      <c r="F40" s="1"/>
    </row>
    <row r="41" spans="1:6" x14ac:dyDescent="0.2">
      <c r="A41"/>
      <c r="B41"/>
      <c r="C41" s="2"/>
      <c r="D41" s="1"/>
      <c r="E41" s="1"/>
      <c r="F41" s="1"/>
    </row>
    <row r="42" spans="1:6" x14ac:dyDescent="0.2">
      <c r="A42"/>
      <c r="B42"/>
      <c r="C42" s="2"/>
      <c r="D42" s="1"/>
      <c r="E42" s="1"/>
      <c r="F42" s="1"/>
    </row>
    <row r="43" spans="1:6" x14ac:dyDescent="0.2">
      <c r="A43"/>
      <c r="B43"/>
      <c r="C43" s="2"/>
      <c r="D43" s="1"/>
      <c r="E43" s="1"/>
      <c r="F43" s="1"/>
    </row>
    <row r="44" spans="1:6" x14ac:dyDescent="0.2">
      <c r="A44"/>
      <c r="B44"/>
      <c r="C44" s="2"/>
      <c r="D44" s="1"/>
      <c r="E44" s="1"/>
      <c r="F44" s="1"/>
    </row>
    <row r="45" spans="1:6" x14ac:dyDescent="0.2">
      <c r="A45"/>
      <c r="B45"/>
      <c r="C45" s="2"/>
      <c r="D45" s="1"/>
      <c r="E45" s="1"/>
      <c r="F45" s="1"/>
    </row>
    <row r="46" spans="1:6" x14ac:dyDescent="0.2">
      <c r="A46"/>
      <c r="B46"/>
      <c r="C46" s="2"/>
      <c r="D46" s="1"/>
      <c r="E46" s="1"/>
      <c r="F46" s="1"/>
    </row>
    <row r="47" spans="1:6" x14ac:dyDescent="0.2">
      <c r="A47"/>
      <c r="B47"/>
      <c r="C47" s="2"/>
      <c r="D47" s="1"/>
      <c r="E47" s="1"/>
      <c r="F47" s="1"/>
    </row>
    <row r="48" spans="1:6" x14ac:dyDescent="0.2">
      <c r="A48"/>
      <c r="B48"/>
      <c r="C48" s="2"/>
      <c r="D48" s="1"/>
      <c r="E48" s="1"/>
      <c r="F48" s="1"/>
    </row>
    <row r="49" spans="1:6" x14ac:dyDescent="0.2">
      <c r="A49"/>
      <c r="B49"/>
      <c r="C49" s="2"/>
      <c r="D49" s="1"/>
      <c r="E49" s="1"/>
      <c r="F49" s="1"/>
    </row>
    <row r="50" spans="1:6" x14ac:dyDescent="0.2">
      <c r="A50"/>
      <c r="B50"/>
      <c r="C50" s="2"/>
      <c r="D50" s="1"/>
      <c r="E50" s="1"/>
      <c r="F50" s="1"/>
    </row>
    <row r="51" spans="1:6" x14ac:dyDescent="0.2">
      <c r="A51"/>
      <c r="B51"/>
      <c r="C51" s="2"/>
      <c r="D51" s="1"/>
      <c r="E51" s="1"/>
      <c r="F51" s="1"/>
    </row>
    <row r="52" spans="1:6" x14ac:dyDescent="0.2">
      <c r="A52"/>
      <c r="B52"/>
      <c r="C52" s="2"/>
      <c r="D52" s="1"/>
      <c r="E52" s="1"/>
      <c r="F52" s="1"/>
    </row>
    <row r="53" spans="1:6" x14ac:dyDescent="0.2">
      <c r="A53"/>
      <c r="B53"/>
      <c r="C53" s="2"/>
      <c r="D53" s="1"/>
      <c r="E53" s="1"/>
      <c r="F53" s="1"/>
    </row>
    <row r="54" spans="1:6" x14ac:dyDescent="0.2">
      <c r="A54"/>
      <c r="B54"/>
      <c r="C54" s="2"/>
      <c r="D54" s="1"/>
      <c r="E54" s="1"/>
      <c r="F54" s="1"/>
    </row>
    <row r="55" spans="1:6" x14ac:dyDescent="0.2">
      <c r="A55"/>
      <c r="B55"/>
      <c r="C55" s="2"/>
      <c r="D55" s="1"/>
      <c r="E55" s="1"/>
      <c r="F55" s="1"/>
    </row>
    <row r="56" spans="1:6" x14ac:dyDescent="0.2">
      <c r="A56"/>
      <c r="B56"/>
      <c r="C56" s="2"/>
      <c r="D56" s="1"/>
      <c r="E56" s="1"/>
      <c r="F56" s="1"/>
    </row>
    <row r="57" spans="1:6" x14ac:dyDescent="0.2">
      <c r="A57"/>
      <c r="B57"/>
      <c r="C57" s="2"/>
      <c r="D57" s="1"/>
      <c r="E57" s="1"/>
      <c r="F57" s="1"/>
    </row>
    <row r="58" spans="1:6" x14ac:dyDescent="0.2">
      <c r="A58"/>
      <c r="B58"/>
      <c r="C58" s="2"/>
      <c r="D58" s="1"/>
      <c r="E58" s="1"/>
      <c r="F58" s="1"/>
    </row>
    <row r="59" spans="1:6" x14ac:dyDescent="0.2">
      <c r="A59"/>
      <c r="B59"/>
      <c r="C59" s="2"/>
      <c r="D59" s="1"/>
      <c r="E59" s="1"/>
      <c r="F59" s="1"/>
    </row>
    <row r="60" spans="1:6" x14ac:dyDescent="0.2">
      <c r="A60"/>
      <c r="B60"/>
      <c r="C60" s="2"/>
      <c r="D60" s="1"/>
      <c r="E60" s="1"/>
      <c r="F60" s="1"/>
    </row>
    <row r="61" spans="1:6" x14ac:dyDescent="0.2">
      <c r="A61"/>
      <c r="B61"/>
      <c r="C61" s="2"/>
      <c r="D61" s="1"/>
      <c r="E61" s="1"/>
      <c r="F61" s="1"/>
    </row>
    <row r="62" spans="1:6" x14ac:dyDescent="0.2">
      <c r="A62"/>
      <c r="B62"/>
      <c r="C62" s="2"/>
      <c r="D62" s="1"/>
      <c r="E62" s="1"/>
      <c r="F62" s="1"/>
    </row>
    <row r="63" spans="1:6" x14ac:dyDescent="0.2">
      <c r="A63"/>
      <c r="B63"/>
      <c r="C63" s="2"/>
      <c r="D63" s="1"/>
      <c r="E63" s="1"/>
      <c r="F63" s="1"/>
    </row>
    <row r="64" spans="1:6" x14ac:dyDescent="0.2">
      <c r="A64"/>
      <c r="B64"/>
      <c r="C64" s="2"/>
      <c r="D64" s="1"/>
      <c r="E64" s="1"/>
      <c r="F64" s="1"/>
    </row>
    <row r="65" spans="1:6" x14ac:dyDescent="0.2">
      <c r="A65"/>
      <c r="B65"/>
      <c r="C65" s="2"/>
      <c r="D65" s="1"/>
      <c r="E65" s="1"/>
      <c r="F65" s="1"/>
    </row>
    <row r="66" spans="1:6" x14ac:dyDescent="0.2">
      <c r="A66"/>
      <c r="B66"/>
      <c r="C66" s="2"/>
      <c r="D66" s="1"/>
      <c r="E66" s="1"/>
      <c r="F66" s="1"/>
    </row>
    <row r="67" spans="1:6" x14ac:dyDescent="0.2">
      <c r="A67"/>
      <c r="B67"/>
      <c r="C67" s="2"/>
      <c r="D67" s="1"/>
      <c r="E67" s="1"/>
      <c r="F67" s="1"/>
    </row>
    <row r="68" spans="1:6" x14ac:dyDescent="0.2">
      <c r="A68"/>
      <c r="B68"/>
      <c r="C68" s="2"/>
      <c r="D68" s="1"/>
      <c r="E68" s="1"/>
      <c r="F68" s="1"/>
    </row>
    <row r="69" spans="1:6" x14ac:dyDescent="0.2">
      <c r="A69"/>
      <c r="B69"/>
      <c r="C69" s="2"/>
      <c r="D69" s="1"/>
      <c r="E69" s="1"/>
      <c r="F69" s="1"/>
    </row>
    <row r="70" spans="1:6" x14ac:dyDescent="0.2">
      <c r="A70"/>
      <c r="B70"/>
      <c r="C70" s="2"/>
      <c r="D70" s="1"/>
      <c r="E70" s="1"/>
      <c r="F70" s="1"/>
    </row>
    <row r="71" spans="1:6" x14ac:dyDescent="0.2">
      <c r="A71"/>
      <c r="B71"/>
      <c r="C71" s="2"/>
      <c r="D71" s="1"/>
      <c r="E71" s="1"/>
      <c r="F71" s="1"/>
    </row>
    <row r="72" spans="1:6" x14ac:dyDescent="0.2">
      <c r="A72"/>
      <c r="B72"/>
      <c r="C72" s="2"/>
      <c r="D72" s="1"/>
      <c r="E72" s="1"/>
      <c r="F72" s="1"/>
    </row>
    <row r="73" spans="1:6" x14ac:dyDescent="0.2">
      <c r="A73"/>
      <c r="B73"/>
      <c r="C73" s="2"/>
      <c r="D73" s="1"/>
      <c r="E73" s="1"/>
      <c r="F73" s="1"/>
    </row>
    <row r="74" spans="1:6" x14ac:dyDescent="0.2">
      <c r="A74"/>
      <c r="B74"/>
      <c r="C74" s="2"/>
      <c r="D74" s="1"/>
      <c r="E74" s="1"/>
      <c r="F74" s="1"/>
    </row>
    <row r="75" spans="1:6" x14ac:dyDescent="0.2">
      <c r="A75"/>
      <c r="B75"/>
      <c r="C75" s="2"/>
      <c r="D75" s="1"/>
      <c r="E75" s="1"/>
      <c r="F75" s="1"/>
    </row>
    <row r="76" spans="1:6" x14ac:dyDescent="0.2">
      <c r="A76"/>
      <c r="B76"/>
      <c r="C76" s="2"/>
      <c r="D76" s="1"/>
      <c r="E76" s="1"/>
      <c r="F76" s="1"/>
    </row>
    <row r="77" spans="1:6" x14ac:dyDescent="0.2">
      <c r="A77"/>
      <c r="B77"/>
      <c r="C77" s="2"/>
      <c r="D77" s="1"/>
      <c r="E77" s="1"/>
      <c r="F77" s="1"/>
    </row>
    <row r="78" spans="1:6" x14ac:dyDescent="0.2">
      <c r="A78"/>
      <c r="B78"/>
      <c r="C78" s="2"/>
      <c r="D78" s="1"/>
      <c r="E78" s="1"/>
      <c r="F78" s="1"/>
    </row>
    <row r="79" spans="1:6" x14ac:dyDescent="0.2">
      <c r="A79"/>
      <c r="B79"/>
      <c r="C79" s="2"/>
      <c r="D79" s="1"/>
      <c r="E79" s="1"/>
      <c r="F79" s="1"/>
    </row>
    <row r="80" spans="1:6" x14ac:dyDescent="0.2">
      <c r="A80"/>
      <c r="B80"/>
      <c r="C80" s="2"/>
      <c r="D80" s="1"/>
      <c r="E80" s="1"/>
      <c r="F80" s="1"/>
    </row>
    <row r="81" spans="1:6" x14ac:dyDescent="0.2">
      <c r="A81"/>
      <c r="B81"/>
      <c r="C81" s="2"/>
      <c r="D81" s="1"/>
      <c r="E81" s="1"/>
      <c r="F81" s="1"/>
    </row>
    <row r="82" spans="1:6" x14ac:dyDescent="0.2">
      <c r="A82"/>
      <c r="B82"/>
      <c r="C82" s="2"/>
      <c r="D82" s="1"/>
      <c r="E82" s="1"/>
      <c r="F82" s="1"/>
    </row>
    <row r="83" spans="1:6" x14ac:dyDescent="0.2">
      <c r="A83"/>
      <c r="B83"/>
      <c r="C83" s="2"/>
      <c r="D83" s="1"/>
      <c r="E83" s="1"/>
      <c r="F83" s="1"/>
    </row>
    <row r="84" spans="1:6" x14ac:dyDescent="0.2">
      <c r="A84"/>
      <c r="B84"/>
      <c r="C84" s="2"/>
      <c r="D84" s="1"/>
      <c r="E84" s="1"/>
      <c r="F84" s="1"/>
    </row>
    <row r="85" spans="1:6" x14ac:dyDescent="0.2">
      <c r="A85"/>
      <c r="B85"/>
      <c r="C85" s="2"/>
      <c r="D85" s="1"/>
      <c r="E85" s="1"/>
      <c r="F85" s="1"/>
    </row>
    <row r="86" spans="1:6" x14ac:dyDescent="0.2">
      <c r="A86"/>
      <c r="B86"/>
      <c r="C86" s="2"/>
      <c r="D86" s="1"/>
      <c r="E86" s="1"/>
      <c r="F86" s="1"/>
    </row>
    <row r="87" spans="1:6" x14ac:dyDescent="0.2">
      <c r="A87"/>
      <c r="B87"/>
      <c r="C87" s="2"/>
      <c r="D87" s="1"/>
      <c r="E87" s="1"/>
      <c r="F87" s="1"/>
    </row>
    <row r="88" spans="1:6" x14ac:dyDescent="0.2">
      <c r="A88"/>
      <c r="B88"/>
      <c r="C88" s="2"/>
      <c r="D88" s="1"/>
      <c r="E88" s="1"/>
      <c r="F88" s="1"/>
    </row>
    <row r="89" spans="1:6" x14ac:dyDescent="0.2">
      <c r="A89"/>
      <c r="B89"/>
      <c r="C89" s="2"/>
      <c r="D89" s="1"/>
      <c r="E89" s="1"/>
      <c r="F89" s="1"/>
    </row>
    <row r="90" spans="1:6" x14ac:dyDescent="0.2">
      <c r="A90"/>
      <c r="B90"/>
      <c r="C90" s="2"/>
      <c r="D90" s="1"/>
      <c r="E90" s="1"/>
      <c r="F90" s="1"/>
    </row>
    <row r="91" spans="1:6" x14ac:dyDescent="0.2">
      <c r="A91"/>
      <c r="B91"/>
      <c r="C91" s="2"/>
      <c r="D91" s="1"/>
      <c r="E91" s="1"/>
      <c r="F91" s="1"/>
    </row>
    <row r="92" spans="1:6" x14ac:dyDescent="0.2">
      <c r="A92"/>
      <c r="B92"/>
      <c r="C92" s="2"/>
      <c r="D92" s="1"/>
      <c r="E92" s="1"/>
      <c r="F92" s="1"/>
    </row>
    <row r="93" spans="1:6" x14ac:dyDescent="0.2">
      <c r="A93"/>
      <c r="B93"/>
      <c r="C93" s="2"/>
      <c r="D93" s="1"/>
      <c r="E93" s="1"/>
      <c r="F93" s="1"/>
    </row>
    <row r="94" spans="1:6" x14ac:dyDescent="0.2">
      <c r="A94"/>
      <c r="B94"/>
      <c r="C94" s="2"/>
      <c r="D94" s="1"/>
      <c r="E94" s="1"/>
      <c r="F94" s="1"/>
    </row>
    <row r="95" spans="1:6" x14ac:dyDescent="0.2">
      <c r="A95"/>
      <c r="B95"/>
      <c r="C95" s="2"/>
      <c r="D95" s="1"/>
      <c r="E95" s="1"/>
      <c r="F95" s="1"/>
    </row>
    <row r="96" spans="1:6" x14ac:dyDescent="0.2">
      <c r="A96"/>
      <c r="B96"/>
      <c r="C96" s="2"/>
      <c r="D96" s="1"/>
      <c r="E96" s="1"/>
      <c r="F96" s="1"/>
    </row>
    <row r="97" spans="1:6" x14ac:dyDescent="0.2">
      <c r="A97"/>
      <c r="B97"/>
      <c r="C97" s="2"/>
      <c r="D97" s="1"/>
      <c r="E97" s="1"/>
      <c r="F97" s="1"/>
    </row>
    <row r="98" spans="1:6" x14ac:dyDescent="0.2">
      <c r="A98"/>
      <c r="B98"/>
      <c r="C98" s="2"/>
      <c r="D98" s="1"/>
      <c r="E98" s="1"/>
      <c r="F98" s="1"/>
    </row>
    <row r="99" spans="1:6" x14ac:dyDescent="0.2">
      <c r="A99"/>
      <c r="B99"/>
      <c r="C99" s="2"/>
      <c r="D99" s="1"/>
      <c r="E99" s="1"/>
      <c r="F99" s="1"/>
    </row>
    <row r="100" spans="1:6" x14ac:dyDescent="0.2">
      <c r="A100"/>
      <c r="B100"/>
      <c r="C100" s="2"/>
      <c r="D100" s="1"/>
      <c r="E100" s="1"/>
      <c r="F100" s="1"/>
    </row>
    <row r="101" spans="1:6" x14ac:dyDescent="0.2">
      <c r="A101"/>
      <c r="B101"/>
      <c r="C101" s="2"/>
      <c r="D101" s="1"/>
      <c r="E101" s="1"/>
      <c r="F101" s="1"/>
    </row>
    <row r="102" spans="1:6" x14ac:dyDescent="0.2">
      <c r="A102"/>
      <c r="B102"/>
      <c r="C102" s="2"/>
      <c r="D102" s="1"/>
      <c r="E102" s="1"/>
      <c r="F102" s="1"/>
    </row>
    <row r="103" spans="1:6" x14ac:dyDescent="0.2">
      <c r="A103"/>
      <c r="B103"/>
      <c r="C103" s="2"/>
      <c r="D103" s="1"/>
      <c r="E103" s="1"/>
      <c r="F103" s="1"/>
    </row>
    <row r="104" spans="1:6" x14ac:dyDescent="0.2">
      <c r="A104"/>
      <c r="B104"/>
      <c r="C104" s="2"/>
      <c r="D104" s="1"/>
      <c r="E104" s="1"/>
      <c r="F104" s="1"/>
    </row>
    <row r="105" spans="1:6" x14ac:dyDescent="0.2">
      <c r="A105"/>
      <c r="B105"/>
      <c r="C105" s="2"/>
      <c r="D105" s="1"/>
      <c r="E105" s="1"/>
      <c r="F105" s="1"/>
    </row>
    <row r="106" spans="1:6" x14ac:dyDescent="0.2">
      <c r="A106"/>
      <c r="B106"/>
      <c r="C106" s="2"/>
      <c r="D106" s="1"/>
      <c r="E106" s="1"/>
      <c r="F106" s="1"/>
    </row>
    <row r="107" spans="1:6" x14ac:dyDescent="0.2">
      <c r="A107"/>
      <c r="B107"/>
      <c r="C107" s="2"/>
      <c r="D107" s="1"/>
      <c r="E107" s="1"/>
      <c r="F107" s="1"/>
    </row>
    <row r="108" spans="1:6" x14ac:dyDescent="0.2">
      <c r="A108"/>
      <c r="B108"/>
      <c r="C108" s="2"/>
      <c r="D108" s="1"/>
      <c r="E108" s="1"/>
      <c r="F108" s="1"/>
    </row>
    <row r="109" spans="1:6" x14ac:dyDescent="0.2">
      <c r="A109"/>
      <c r="B109"/>
      <c r="C109" s="2"/>
      <c r="D109" s="1"/>
      <c r="E109" s="1"/>
      <c r="F109" s="1"/>
    </row>
    <row r="110" spans="1:6" x14ac:dyDescent="0.2">
      <c r="A110"/>
      <c r="B110"/>
      <c r="C110" s="2"/>
      <c r="D110" s="1"/>
      <c r="E110" s="1"/>
      <c r="F110" s="1"/>
    </row>
    <row r="111" spans="1:6" x14ac:dyDescent="0.2">
      <c r="A111"/>
      <c r="B111"/>
      <c r="C111" s="2"/>
      <c r="D111" s="1"/>
      <c r="E111" s="1"/>
      <c r="F111" s="1"/>
    </row>
    <row r="112" spans="1:6" x14ac:dyDescent="0.2">
      <c r="A112"/>
      <c r="B112"/>
      <c r="C112" s="2"/>
      <c r="D112" s="1"/>
      <c r="E112" s="1"/>
      <c r="F112" s="1"/>
    </row>
    <row r="113" spans="1:6" x14ac:dyDescent="0.2">
      <c r="A113"/>
      <c r="B113"/>
      <c r="C113" s="2"/>
      <c r="D113" s="1"/>
      <c r="E113" s="1"/>
      <c r="F113" s="1"/>
    </row>
    <row r="114" spans="1:6" x14ac:dyDescent="0.2">
      <c r="A114"/>
      <c r="B114"/>
      <c r="C114" s="2"/>
      <c r="D114" s="1"/>
      <c r="E114" s="1"/>
      <c r="F114" s="1"/>
    </row>
    <row r="115" spans="1:6" x14ac:dyDescent="0.2">
      <c r="A115"/>
      <c r="B115"/>
      <c r="C115" s="2"/>
      <c r="D115" s="1"/>
      <c r="E115" s="1"/>
      <c r="F115" s="1"/>
    </row>
    <row r="116" spans="1:6" x14ac:dyDescent="0.2">
      <c r="A116"/>
      <c r="B116"/>
      <c r="C116" s="2"/>
      <c r="D116" s="1"/>
      <c r="E116" s="1"/>
      <c r="F116" s="1"/>
    </row>
    <row r="117" spans="1:6" x14ac:dyDescent="0.2">
      <c r="A117"/>
      <c r="B117"/>
      <c r="C117" s="2"/>
      <c r="D117" s="1"/>
      <c r="E117" s="1"/>
      <c r="F117" s="1"/>
    </row>
    <row r="118" spans="1:6" x14ac:dyDescent="0.2">
      <c r="A118"/>
      <c r="B118"/>
      <c r="C118" s="2"/>
      <c r="D118" s="1"/>
      <c r="E118" s="1"/>
      <c r="F118" s="1"/>
    </row>
    <row r="119" spans="1:6" x14ac:dyDescent="0.2">
      <c r="A119"/>
      <c r="B119"/>
      <c r="C119" s="2"/>
      <c r="D119" s="1"/>
      <c r="E119" s="1"/>
      <c r="F119" s="1"/>
    </row>
    <row r="120" spans="1:6" x14ac:dyDescent="0.2">
      <c r="A120"/>
      <c r="B120"/>
      <c r="C120" s="2"/>
      <c r="D120" s="1"/>
      <c r="E120" s="1"/>
      <c r="F120" s="1"/>
    </row>
    <row r="121" spans="1:6" x14ac:dyDescent="0.2">
      <c r="A121"/>
      <c r="B121"/>
      <c r="C121" s="2"/>
      <c r="D121" s="1"/>
      <c r="E121" s="1"/>
      <c r="F121" s="1"/>
    </row>
    <row r="122" spans="1:6" x14ac:dyDescent="0.2">
      <c r="A122"/>
      <c r="B122"/>
      <c r="C122" s="2"/>
      <c r="D122" s="1"/>
      <c r="E122" s="1"/>
      <c r="F122" s="1"/>
    </row>
    <row r="123" spans="1:6" x14ac:dyDescent="0.2">
      <c r="A123"/>
      <c r="B123"/>
      <c r="C123" s="2"/>
      <c r="D123" s="1"/>
      <c r="E123" s="1"/>
      <c r="F123" s="1"/>
    </row>
    <row r="124" spans="1:6" x14ac:dyDescent="0.2">
      <c r="A124"/>
      <c r="B124"/>
      <c r="C124" s="2"/>
      <c r="D124" s="1"/>
      <c r="E124" s="1"/>
      <c r="F124" s="1"/>
    </row>
    <row r="125" spans="1:6" x14ac:dyDescent="0.2">
      <c r="A125"/>
      <c r="B125"/>
      <c r="C125" s="2"/>
      <c r="D125" s="1"/>
      <c r="E125" s="1"/>
      <c r="F125" s="1"/>
    </row>
    <row r="126" spans="1:6" x14ac:dyDescent="0.2">
      <c r="A126"/>
      <c r="B126"/>
      <c r="C126" s="2"/>
      <c r="D126" s="1"/>
      <c r="E126" s="1"/>
      <c r="F126" s="1"/>
    </row>
    <row r="127" spans="1:6" x14ac:dyDescent="0.2">
      <c r="A127"/>
      <c r="B127"/>
      <c r="C127" s="2"/>
      <c r="D127" s="1"/>
      <c r="E127" s="1"/>
      <c r="F127" s="1"/>
    </row>
    <row r="128" spans="1:6" x14ac:dyDescent="0.2">
      <c r="A128"/>
      <c r="B128"/>
      <c r="C128" s="2"/>
      <c r="D128" s="1"/>
      <c r="E128" s="1"/>
      <c r="F128" s="1"/>
    </row>
    <row r="129" spans="1:6" x14ac:dyDescent="0.2">
      <c r="A129"/>
      <c r="B129"/>
      <c r="C129" s="2"/>
      <c r="D129" s="1"/>
      <c r="E129" s="1"/>
      <c r="F129" s="1"/>
    </row>
    <row r="130" spans="1:6" x14ac:dyDescent="0.2">
      <c r="A130"/>
      <c r="B130"/>
      <c r="C130" s="2"/>
      <c r="D130" s="1"/>
      <c r="E130" s="1"/>
      <c r="F130" s="1"/>
    </row>
    <row r="131" spans="1:6" x14ac:dyDescent="0.2">
      <c r="A131"/>
      <c r="B131"/>
      <c r="C131" s="2"/>
      <c r="D131" s="1"/>
      <c r="E131" s="1"/>
      <c r="F131" s="1"/>
    </row>
    <row r="132" spans="1:6" x14ac:dyDescent="0.2">
      <c r="A132"/>
      <c r="B132"/>
      <c r="C132" s="2"/>
      <c r="D132" s="1"/>
      <c r="E132" s="1"/>
      <c r="F132" s="1"/>
    </row>
    <row r="133" spans="1:6" x14ac:dyDescent="0.2">
      <c r="A133"/>
      <c r="B133"/>
      <c r="C133" s="2"/>
      <c r="D133" s="1"/>
      <c r="E133" s="1"/>
      <c r="F133" s="1"/>
    </row>
    <row r="134" spans="1:6" x14ac:dyDescent="0.2">
      <c r="A134"/>
      <c r="B134"/>
      <c r="C134" s="2"/>
      <c r="D134" s="1"/>
      <c r="E134" s="1"/>
      <c r="F134" s="1"/>
    </row>
    <row r="135" spans="1:6" x14ac:dyDescent="0.2">
      <c r="A135"/>
      <c r="B135"/>
      <c r="C135" s="2"/>
      <c r="D135" s="1"/>
      <c r="E135" s="1"/>
      <c r="F135" s="1"/>
    </row>
    <row r="136" spans="1:6" x14ac:dyDescent="0.2">
      <c r="A136"/>
      <c r="B136"/>
      <c r="C136" s="2"/>
      <c r="D136" s="1"/>
      <c r="E136" s="1"/>
      <c r="F136" s="1"/>
    </row>
    <row r="137" spans="1:6" x14ac:dyDescent="0.2">
      <c r="A137"/>
      <c r="B137"/>
      <c r="C137" s="2"/>
      <c r="D137" s="1"/>
      <c r="E137" s="1"/>
      <c r="F137" s="1"/>
    </row>
    <row r="138" spans="1:6" x14ac:dyDescent="0.2">
      <c r="A138"/>
      <c r="B138"/>
      <c r="C138" s="2"/>
      <c r="D138" s="1"/>
      <c r="E138" s="1"/>
      <c r="F138" s="1"/>
    </row>
    <row r="139" spans="1:6" x14ac:dyDescent="0.2">
      <c r="A139"/>
      <c r="B139"/>
      <c r="C139" s="2"/>
      <c r="D139" s="1"/>
      <c r="E139" s="1"/>
      <c r="F139" s="1"/>
    </row>
    <row r="140" spans="1:6" x14ac:dyDescent="0.2">
      <c r="A140"/>
      <c r="B140"/>
      <c r="C140" s="2"/>
      <c r="D140" s="1"/>
      <c r="E140" s="1"/>
      <c r="F140" s="1"/>
    </row>
    <row r="141" spans="1:6" x14ac:dyDescent="0.2">
      <c r="A141"/>
      <c r="B141"/>
      <c r="C141" s="2"/>
      <c r="D141" s="1"/>
      <c r="E141" s="1"/>
      <c r="F141" s="1"/>
    </row>
    <row r="142" spans="1:6" x14ac:dyDescent="0.2">
      <c r="A142"/>
      <c r="B142"/>
      <c r="C142" s="2"/>
      <c r="D142" s="1"/>
      <c r="E142" s="1"/>
      <c r="F142" s="1"/>
    </row>
    <row r="143" spans="1:6" x14ac:dyDescent="0.2">
      <c r="A143"/>
      <c r="B143"/>
      <c r="C143" s="2"/>
      <c r="D143" s="1"/>
      <c r="E143" s="1"/>
      <c r="F143" s="1"/>
    </row>
    <row r="144" spans="1:6" x14ac:dyDescent="0.2">
      <c r="A144"/>
      <c r="B144"/>
      <c r="C144" s="2"/>
      <c r="D144" s="1"/>
      <c r="E144" s="1"/>
      <c r="F144" s="1"/>
    </row>
    <row r="145" spans="1:6" x14ac:dyDescent="0.2">
      <c r="A145"/>
      <c r="B145"/>
      <c r="C145" s="2"/>
      <c r="D145" s="1"/>
      <c r="E145" s="1"/>
      <c r="F145" s="1"/>
    </row>
    <row r="146" spans="1:6" x14ac:dyDescent="0.2">
      <c r="A146"/>
      <c r="B146"/>
      <c r="C146" s="2"/>
      <c r="D146" s="1"/>
      <c r="E146" s="1"/>
      <c r="F146" s="1"/>
    </row>
    <row r="147" spans="1:6" x14ac:dyDescent="0.2">
      <c r="A147"/>
      <c r="B147"/>
      <c r="C147" s="2"/>
      <c r="D147" s="1"/>
      <c r="E147" s="1"/>
      <c r="F147" s="1"/>
    </row>
    <row r="148" spans="1:6" x14ac:dyDescent="0.2">
      <c r="A148"/>
      <c r="B148"/>
      <c r="C148" s="2"/>
      <c r="D148" s="1"/>
      <c r="E148" s="1"/>
      <c r="F148" s="1"/>
    </row>
    <row r="149" spans="1:6" x14ac:dyDescent="0.2">
      <c r="A149"/>
      <c r="B149"/>
      <c r="C149" s="2"/>
      <c r="D149" s="1"/>
      <c r="E149" s="1"/>
      <c r="F149" s="1"/>
    </row>
    <row r="150" spans="1:6" x14ac:dyDescent="0.2">
      <c r="A150"/>
      <c r="B150"/>
      <c r="C150" s="2"/>
      <c r="D150" s="1"/>
      <c r="E150" s="1"/>
      <c r="F150" s="1"/>
    </row>
    <row r="151" spans="1:6" x14ac:dyDescent="0.2">
      <c r="A151"/>
      <c r="B151"/>
      <c r="C151" s="2"/>
      <c r="D151" s="1"/>
      <c r="E151" s="1"/>
      <c r="F151" s="1"/>
    </row>
    <row r="152" spans="1:6" x14ac:dyDescent="0.2">
      <c r="A152"/>
      <c r="B152"/>
      <c r="C152" s="2"/>
      <c r="D152" s="1"/>
      <c r="E152" s="1"/>
      <c r="F152" s="1"/>
    </row>
    <row r="153" spans="1:6" x14ac:dyDescent="0.2">
      <c r="A153"/>
      <c r="B153"/>
      <c r="C153" s="2"/>
      <c r="D153" s="1"/>
      <c r="E153" s="1"/>
      <c r="F153" s="1"/>
    </row>
    <row r="154" spans="1:6" x14ac:dyDescent="0.2">
      <c r="A154"/>
      <c r="B154"/>
      <c r="C154" s="2"/>
      <c r="D154" s="1"/>
      <c r="E154" s="1"/>
      <c r="F154" s="1"/>
    </row>
    <row r="155" spans="1:6" x14ac:dyDescent="0.2">
      <c r="A155"/>
      <c r="B155"/>
      <c r="C155" s="2"/>
      <c r="D155" s="1"/>
      <c r="E155" s="1"/>
      <c r="F155" s="1"/>
    </row>
    <row r="156" spans="1:6" x14ac:dyDescent="0.2">
      <c r="A156"/>
      <c r="B156"/>
      <c r="C156" s="2"/>
      <c r="D156" s="1"/>
      <c r="E156" s="1"/>
      <c r="F156" s="1"/>
    </row>
    <row r="157" spans="1:6" x14ac:dyDescent="0.2">
      <c r="A157"/>
      <c r="B157"/>
      <c r="C157" s="2"/>
      <c r="D157" s="1"/>
      <c r="E157" s="1"/>
      <c r="F157" s="1"/>
    </row>
    <row r="158" spans="1:6" x14ac:dyDescent="0.2">
      <c r="A158"/>
      <c r="B158"/>
      <c r="C158" s="2"/>
      <c r="D158" s="1"/>
      <c r="E158" s="1"/>
      <c r="F158" s="1"/>
    </row>
    <row r="159" spans="1:6" x14ac:dyDescent="0.2">
      <c r="A159"/>
      <c r="B159"/>
      <c r="C159" s="2"/>
      <c r="D159" s="1"/>
      <c r="E159" s="1"/>
      <c r="F159" s="1"/>
    </row>
    <row r="160" spans="1:6" x14ac:dyDescent="0.2">
      <c r="A160"/>
      <c r="B160"/>
      <c r="C160" s="2"/>
      <c r="D160" s="1"/>
      <c r="E160" s="1"/>
      <c r="F160" s="1"/>
    </row>
    <row r="161" spans="1:6" x14ac:dyDescent="0.2">
      <c r="A161"/>
      <c r="B161"/>
      <c r="C161" s="2"/>
      <c r="D161" s="1"/>
      <c r="E161" s="1"/>
      <c r="F161" s="1"/>
    </row>
    <row r="162" spans="1:6" x14ac:dyDescent="0.2">
      <c r="A162"/>
      <c r="B162"/>
      <c r="C162" s="2"/>
      <c r="D162" s="1"/>
      <c r="E162" s="1"/>
      <c r="F162" s="1"/>
    </row>
    <row r="163" spans="1:6" x14ac:dyDescent="0.2">
      <c r="A163"/>
      <c r="B163"/>
      <c r="C163" s="2"/>
      <c r="D163" s="1"/>
      <c r="E163" s="1"/>
      <c r="F163" s="1"/>
    </row>
    <row r="164" spans="1:6" x14ac:dyDescent="0.2">
      <c r="A164"/>
      <c r="B164"/>
      <c r="C164" s="2"/>
      <c r="D164" s="1"/>
      <c r="E164" s="1"/>
      <c r="F164" s="1"/>
    </row>
    <row r="165" spans="1:6" x14ac:dyDescent="0.2">
      <c r="A165"/>
      <c r="B165"/>
      <c r="C165" s="2"/>
      <c r="D165" s="1"/>
      <c r="E165" s="1"/>
      <c r="F165" s="1"/>
    </row>
    <row r="166" spans="1:6" x14ac:dyDescent="0.2">
      <c r="A166"/>
      <c r="B166"/>
      <c r="C166" s="2"/>
      <c r="D166" s="1"/>
      <c r="E166" s="1"/>
      <c r="F166" s="1"/>
    </row>
    <row r="167" spans="1:6" x14ac:dyDescent="0.2">
      <c r="A167"/>
      <c r="B167"/>
      <c r="C167" s="2"/>
      <c r="D167" s="1"/>
      <c r="E167" s="1"/>
      <c r="F167" s="1"/>
    </row>
    <row r="168" spans="1:6" x14ac:dyDescent="0.2">
      <c r="A168"/>
      <c r="B168"/>
      <c r="C168" s="2"/>
      <c r="D168" s="1"/>
      <c r="E168" s="1"/>
      <c r="F168" s="1"/>
    </row>
    <row r="169" spans="1:6" x14ac:dyDescent="0.2">
      <c r="A169"/>
      <c r="B169"/>
      <c r="C169" s="2"/>
      <c r="D169" s="1"/>
      <c r="E169" s="1"/>
      <c r="F169" s="1"/>
    </row>
    <row r="170" spans="1:6" x14ac:dyDescent="0.2">
      <c r="A170"/>
      <c r="B170"/>
      <c r="C170" s="2"/>
      <c r="D170" s="1"/>
      <c r="E170" s="1"/>
      <c r="F170" s="1"/>
    </row>
    <row r="171" spans="1:6" x14ac:dyDescent="0.2">
      <c r="A171"/>
      <c r="B171"/>
      <c r="C171" s="2"/>
      <c r="D171" s="1"/>
      <c r="E171" s="1"/>
      <c r="F171" s="1"/>
    </row>
    <row r="172" spans="1:6" x14ac:dyDescent="0.2">
      <c r="A172"/>
      <c r="B172"/>
      <c r="C172" s="2"/>
      <c r="D172" s="1"/>
      <c r="E172" s="1"/>
      <c r="F172" s="1"/>
    </row>
    <row r="173" spans="1:6" x14ac:dyDescent="0.2">
      <c r="A173"/>
      <c r="B173"/>
      <c r="C173" s="2"/>
      <c r="D173" s="1"/>
      <c r="E173" s="1"/>
      <c r="F173" s="1"/>
    </row>
    <row r="174" spans="1:6" x14ac:dyDescent="0.2">
      <c r="A174"/>
      <c r="B174"/>
      <c r="C174" s="2"/>
      <c r="D174" s="1"/>
      <c r="E174" s="1"/>
      <c r="F174" s="1"/>
    </row>
    <row r="175" spans="1:6" x14ac:dyDescent="0.2">
      <c r="A175"/>
      <c r="B175"/>
      <c r="C175" s="2"/>
      <c r="D175" s="1"/>
      <c r="E175" s="1"/>
      <c r="F175" s="1"/>
    </row>
    <row r="176" spans="1:6" x14ac:dyDescent="0.2">
      <c r="A176"/>
      <c r="B176"/>
      <c r="C176" s="2"/>
      <c r="D176" s="1"/>
      <c r="E176" s="1"/>
      <c r="F176" s="1"/>
    </row>
    <row r="177" spans="1:6" x14ac:dyDescent="0.2">
      <c r="A177"/>
      <c r="B177"/>
      <c r="C177" s="2"/>
      <c r="D177" s="1"/>
      <c r="E177" s="1"/>
      <c r="F177" s="1"/>
    </row>
    <row r="178" spans="1:6" x14ac:dyDescent="0.2">
      <c r="A178"/>
      <c r="B178"/>
      <c r="C178" s="2"/>
      <c r="D178" s="1"/>
      <c r="E178" s="1"/>
      <c r="F178" s="1"/>
    </row>
    <row r="179" spans="1:6" x14ac:dyDescent="0.2">
      <c r="A179"/>
      <c r="B179"/>
      <c r="C179" s="2"/>
      <c r="D179" s="1"/>
      <c r="E179" s="1"/>
      <c r="F179" s="1"/>
    </row>
    <row r="180" spans="1:6" x14ac:dyDescent="0.2">
      <c r="A180"/>
      <c r="B180"/>
      <c r="C180" s="2"/>
      <c r="D180" s="1"/>
      <c r="E180" s="1"/>
      <c r="F180" s="1"/>
    </row>
    <row r="181" spans="1:6" x14ac:dyDescent="0.2">
      <c r="A181"/>
      <c r="B181"/>
      <c r="C181" s="2"/>
      <c r="D181" s="1"/>
      <c r="E181" s="1"/>
      <c r="F181" s="1"/>
    </row>
    <row r="182" spans="1:6" x14ac:dyDescent="0.2">
      <c r="A182"/>
      <c r="B182"/>
      <c r="C182" s="2"/>
      <c r="D182" s="1"/>
      <c r="E182" s="1"/>
      <c r="F182" s="1"/>
    </row>
    <row r="183" spans="1:6" x14ac:dyDescent="0.2">
      <c r="A183"/>
      <c r="B183"/>
      <c r="C183" s="2"/>
      <c r="D183" s="1"/>
      <c r="E183" s="1"/>
      <c r="F183" s="1"/>
    </row>
    <row r="184" spans="1:6" x14ac:dyDescent="0.2">
      <c r="A184"/>
      <c r="B184"/>
      <c r="C184" s="2"/>
      <c r="D184" s="1"/>
      <c r="E184" s="1"/>
      <c r="F184" s="1"/>
    </row>
    <row r="185" spans="1:6" x14ac:dyDescent="0.2">
      <c r="A185"/>
      <c r="B185"/>
      <c r="C185" s="2"/>
      <c r="D185" s="1"/>
      <c r="E185" s="1"/>
      <c r="F185" s="1"/>
    </row>
    <row r="186" spans="1:6" x14ac:dyDescent="0.2">
      <c r="A186"/>
      <c r="B186"/>
      <c r="C186" s="2"/>
      <c r="D186" s="1"/>
      <c r="E186" s="1"/>
      <c r="F186" s="1"/>
    </row>
    <row r="187" spans="1:6" x14ac:dyDescent="0.2">
      <c r="A187"/>
      <c r="B187"/>
      <c r="C187" s="2"/>
      <c r="D187" s="1"/>
      <c r="E187" s="1"/>
      <c r="F187" s="1"/>
    </row>
    <row r="188" spans="1:6" x14ac:dyDescent="0.2">
      <c r="A188"/>
      <c r="B188"/>
      <c r="C188" s="2"/>
      <c r="D188" s="1"/>
      <c r="E188" s="1"/>
      <c r="F188" s="1"/>
    </row>
    <row r="189" spans="1:6" x14ac:dyDescent="0.2">
      <c r="A189"/>
      <c r="B189"/>
      <c r="C189" s="2"/>
      <c r="D189" s="1"/>
      <c r="E189" s="1"/>
      <c r="F189" s="1"/>
    </row>
    <row r="190" spans="1:6" x14ac:dyDescent="0.2">
      <c r="A190"/>
      <c r="B190"/>
      <c r="C190" s="2"/>
      <c r="D190" s="1"/>
      <c r="E190" s="1"/>
      <c r="F190" s="1"/>
    </row>
    <row r="191" spans="1:6" x14ac:dyDescent="0.2">
      <c r="A191"/>
      <c r="B191"/>
      <c r="C191" s="2"/>
      <c r="D191" s="1"/>
      <c r="E191" s="1"/>
      <c r="F191" s="1"/>
    </row>
    <row r="192" spans="1:6" x14ac:dyDescent="0.2">
      <c r="A192"/>
      <c r="B192"/>
      <c r="C192" s="2"/>
      <c r="D192" s="1"/>
      <c r="E192" s="1"/>
      <c r="F192" s="1"/>
    </row>
    <row r="193" spans="1:6" x14ac:dyDescent="0.2">
      <c r="A193"/>
      <c r="B193"/>
      <c r="C193" s="2"/>
      <c r="D193" s="1"/>
      <c r="E193" s="1"/>
      <c r="F193" s="1"/>
    </row>
    <row r="194" spans="1:6" x14ac:dyDescent="0.2">
      <c r="A194"/>
      <c r="B194"/>
      <c r="C194" s="2"/>
      <c r="D194" s="1"/>
      <c r="E194" s="1"/>
      <c r="F194" s="1"/>
    </row>
    <row r="195" spans="1:6" x14ac:dyDescent="0.2">
      <c r="A195"/>
      <c r="B195"/>
      <c r="C195" s="2"/>
      <c r="D195" s="1"/>
      <c r="E195" s="1"/>
      <c r="F195" s="1"/>
    </row>
    <row r="196" spans="1:6" x14ac:dyDescent="0.2">
      <c r="A196"/>
      <c r="B196"/>
      <c r="C196" s="2"/>
      <c r="D196" s="1"/>
      <c r="E196" s="1"/>
      <c r="F196" s="1"/>
    </row>
    <row r="197" spans="1:6" x14ac:dyDescent="0.2">
      <c r="A197"/>
      <c r="B197"/>
      <c r="C197" s="2"/>
      <c r="D197" s="1"/>
      <c r="E197" s="1"/>
      <c r="F197" s="1"/>
    </row>
    <row r="198" spans="1:6" x14ac:dyDescent="0.2">
      <c r="A198"/>
      <c r="B198"/>
      <c r="C198" s="2"/>
      <c r="D198" s="1"/>
      <c r="E198" s="1"/>
      <c r="F198" s="1"/>
    </row>
    <row r="199" spans="1:6" x14ac:dyDescent="0.2">
      <c r="A199"/>
      <c r="B199"/>
      <c r="C199" s="2"/>
      <c r="D199" s="1"/>
      <c r="E199" s="1"/>
      <c r="F199" s="1"/>
    </row>
    <row r="200" spans="1:6" x14ac:dyDescent="0.2">
      <c r="A200"/>
      <c r="B200"/>
      <c r="C200" s="2"/>
      <c r="D200" s="1"/>
      <c r="E200" s="1"/>
      <c r="F200" s="1"/>
    </row>
    <row r="201" spans="1:6" x14ac:dyDescent="0.2">
      <c r="A201"/>
      <c r="B201"/>
      <c r="C201" s="2"/>
      <c r="D201" s="1"/>
      <c r="E201" s="1"/>
      <c r="F201" s="1"/>
    </row>
    <row r="202" spans="1:6" x14ac:dyDescent="0.2">
      <c r="A202"/>
      <c r="B202"/>
      <c r="C202" s="2"/>
      <c r="D202" s="1"/>
      <c r="E202" s="1"/>
      <c r="F202" s="1"/>
    </row>
    <row r="203" spans="1:6" x14ac:dyDescent="0.2">
      <c r="A203"/>
      <c r="B203"/>
      <c r="C203" s="2"/>
      <c r="D203" s="1"/>
      <c r="E203" s="1"/>
      <c r="F203" s="1"/>
    </row>
    <row r="204" spans="1:6" x14ac:dyDescent="0.2">
      <c r="A204"/>
      <c r="B204"/>
      <c r="C204" s="2"/>
      <c r="D204" s="1"/>
      <c r="E204" s="1"/>
      <c r="F204" s="1"/>
    </row>
    <row r="205" spans="1:6" x14ac:dyDescent="0.2">
      <c r="A205"/>
      <c r="B205"/>
      <c r="C205" s="2"/>
      <c r="D205" s="1"/>
      <c r="E205" s="1"/>
      <c r="F205" s="1"/>
    </row>
    <row r="206" spans="1:6" x14ac:dyDescent="0.2">
      <c r="A206"/>
      <c r="B206"/>
      <c r="C206" s="2"/>
      <c r="D206" s="1"/>
      <c r="E206" s="1"/>
      <c r="F206" s="1"/>
    </row>
    <row r="207" spans="1:6" x14ac:dyDescent="0.2">
      <c r="A207"/>
      <c r="B207"/>
      <c r="C207" s="2"/>
      <c r="D207" s="1"/>
      <c r="E207" s="1"/>
      <c r="F207" s="1"/>
    </row>
    <row r="208" spans="1:6" x14ac:dyDescent="0.2">
      <c r="A208"/>
      <c r="B208"/>
      <c r="C208" s="2"/>
      <c r="D208" s="1"/>
      <c r="E208" s="1"/>
      <c r="F208" s="1"/>
    </row>
    <row r="209" spans="1:6" x14ac:dyDescent="0.2">
      <c r="A209"/>
      <c r="B209"/>
      <c r="C209" s="2"/>
      <c r="D209" s="1"/>
      <c r="E209" s="1"/>
      <c r="F209" s="1"/>
    </row>
    <row r="210" spans="1:6" x14ac:dyDescent="0.2">
      <c r="A210"/>
      <c r="B210"/>
      <c r="C210" s="2"/>
      <c r="D210" s="1"/>
      <c r="E210" s="1"/>
      <c r="F210" s="1"/>
    </row>
    <row r="211" spans="1:6" x14ac:dyDescent="0.2">
      <c r="A211"/>
      <c r="B211"/>
      <c r="C211" s="2"/>
      <c r="D211" s="1"/>
      <c r="E211" s="1"/>
      <c r="F211" s="1"/>
    </row>
    <row r="212" spans="1:6" x14ac:dyDescent="0.2">
      <c r="A212"/>
      <c r="B212"/>
      <c r="C212" s="2"/>
      <c r="D212" s="1"/>
      <c r="E212" s="1"/>
      <c r="F212" s="1"/>
    </row>
    <row r="213" spans="1:6" x14ac:dyDescent="0.2">
      <c r="A213"/>
      <c r="B213"/>
      <c r="C213" s="2"/>
      <c r="D213" s="1"/>
      <c r="E213" s="1"/>
      <c r="F213" s="1"/>
    </row>
    <row r="214" spans="1:6" x14ac:dyDescent="0.2">
      <c r="A214"/>
      <c r="B214"/>
      <c r="C214" s="2"/>
      <c r="D214" s="1"/>
      <c r="E214" s="1"/>
      <c r="F214" s="1"/>
    </row>
    <row r="215" spans="1:6" x14ac:dyDescent="0.2">
      <c r="A215"/>
      <c r="B215"/>
      <c r="C215" s="2"/>
      <c r="D215" s="1"/>
      <c r="E215" s="1"/>
      <c r="F215" s="1"/>
    </row>
    <row r="216" spans="1:6" x14ac:dyDescent="0.2">
      <c r="A216"/>
      <c r="B216"/>
      <c r="C216" s="2"/>
      <c r="D216" s="1"/>
      <c r="E216" s="1"/>
      <c r="F216" s="1"/>
    </row>
    <row r="217" spans="1:6" x14ac:dyDescent="0.2">
      <c r="A217"/>
      <c r="B217"/>
      <c r="C217" s="2"/>
      <c r="D217" s="1"/>
      <c r="E217" s="1"/>
      <c r="F217" s="1"/>
    </row>
    <row r="218" spans="1:6" x14ac:dyDescent="0.2">
      <c r="A218"/>
      <c r="B218"/>
      <c r="C218" s="2"/>
      <c r="D218" s="1"/>
      <c r="E218" s="1"/>
      <c r="F218" s="1"/>
    </row>
    <row r="219" spans="1:6" x14ac:dyDescent="0.2">
      <c r="A219"/>
      <c r="B219"/>
      <c r="C219" s="2"/>
      <c r="D219" s="1"/>
      <c r="E219" s="1"/>
      <c r="F219" s="1"/>
    </row>
    <row r="220" spans="1:6" x14ac:dyDescent="0.2">
      <c r="A220"/>
      <c r="B220"/>
      <c r="C220" s="2"/>
      <c r="D220" s="1"/>
      <c r="E220" s="1"/>
      <c r="F220" s="1"/>
    </row>
    <row r="221" spans="1:6" x14ac:dyDescent="0.2">
      <c r="A221"/>
      <c r="B221"/>
      <c r="C221" s="2"/>
      <c r="D221" s="1"/>
      <c r="E221" s="1"/>
      <c r="F221" s="1"/>
    </row>
    <row r="222" spans="1:6" x14ac:dyDescent="0.2">
      <c r="A222"/>
      <c r="B222"/>
      <c r="C222" s="2"/>
      <c r="D222" s="1"/>
      <c r="E222" s="1"/>
      <c r="F222" s="1"/>
    </row>
    <row r="223" spans="1:6" x14ac:dyDescent="0.2">
      <c r="A223"/>
      <c r="B223"/>
      <c r="C223" s="2"/>
      <c r="D223" s="1"/>
      <c r="E223" s="1"/>
      <c r="F223" s="1"/>
    </row>
    <row r="224" spans="1:6" x14ac:dyDescent="0.2">
      <c r="A224"/>
      <c r="B224"/>
      <c r="C224" s="2"/>
      <c r="D224" s="1"/>
      <c r="E224" s="1"/>
      <c r="F224" s="1"/>
    </row>
    <row r="225" spans="1:6" x14ac:dyDescent="0.2">
      <c r="A225"/>
      <c r="B225"/>
      <c r="C225" s="2"/>
      <c r="D225" s="1"/>
      <c r="E225" s="1"/>
      <c r="F225" s="1"/>
    </row>
    <row r="226" spans="1:6" x14ac:dyDescent="0.2">
      <c r="A226"/>
      <c r="B226"/>
      <c r="C226" s="2"/>
      <c r="D226" s="1"/>
      <c r="E226" s="1"/>
      <c r="F226" s="1"/>
    </row>
    <row r="227" spans="1:6" x14ac:dyDescent="0.2">
      <c r="A227"/>
      <c r="B227"/>
      <c r="C227" s="2"/>
      <c r="D227" s="1"/>
      <c r="E227" s="1"/>
      <c r="F227" s="1"/>
    </row>
    <row r="228" spans="1:6" x14ac:dyDescent="0.2">
      <c r="A228"/>
      <c r="B228"/>
      <c r="C228" s="2"/>
      <c r="D228" s="1"/>
      <c r="E228" s="1"/>
      <c r="F228" s="1"/>
    </row>
    <row r="229" spans="1:6" x14ac:dyDescent="0.2">
      <c r="A229"/>
      <c r="B229"/>
      <c r="C229" s="2"/>
      <c r="D229" s="1"/>
      <c r="E229" s="1"/>
      <c r="F229" s="1"/>
    </row>
    <row r="230" spans="1:6" x14ac:dyDescent="0.2">
      <c r="A230"/>
      <c r="B230"/>
      <c r="C230" s="2"/>
      <c r="D230" s="1"/>
      <c r="E230" s="1"/>
      <c r="F230" s="1"/>
    </row>
    <row r="231" spans="1:6" x14ac:dyDescent="0.2">
      <c r="A231"/>
      <c r="B231"/>
      <c r="C231" s="2"/>
      <c r="D231" s="1"/>
      <c r="E231" s="1"/>
      <c r="F231" s="1"/>
    </row>
    <row r="232" spans="1:6" x14ac:dyDescent="0.2">
      <c r="A232"/>
      <c r="B232"/>
      <c r="C232" s="2"/>
      <c r="D232" s="1"/>
      <c r="E232" s="1"/>
      <c r="F232" s="1"/>
    </row>
    <row r="233" spans="1:6" x14ac:dyDescent="0.2">
      <c r="A233"/>
      <c r="B233"/>
      <c r="C233" s="2"/>
      <c r="D233" s="1"/>
      <c r="E233" s="1"/>
      <c r="F233" s="1"/>
    </row>
    <row r="234" spans="1:6" x14ac:dyDescent="0.2">
      <c r="A234"/>
      <c r="B234"/>
      <c r="C234" s="2"/>
      <c r="D234" s="1"/>
      <c r="E234" s="1"/>
      <c r="F234" s="1"/>
    </row>
    <row r="235" spans="1:6" x14ac:dyDescent="0.2">
      <c r="A235"/>
      <c r="B235"/>
      <c r="C235" s="2"/>
      <c r="D235" s="1"/>
      <c r="E235" s="1"/>
      <c r="F235" s="1"/>
    </row>
    <row r="236" spans="1:6" x14ac:dyDescent="0.2">
      <c r="A236"/>
      <c r="B236"/>
      <c r="C236" s="2"/>
      <c r="D236" s="1"/>
      <c r="E236" s="1"/>
      <c r="F236" s="1"/>
    </row>
    <row r="237" spans="1:6" x14ac:dyDescent="0.2">
      <c r="A237"/>
      <c r="B237"/>
      <c r="C237" s="2"/>
      <c r="D237" s="1"/>
      <c r="E237" s="1"/>
      <c r="F237" s="1"/>
    </row>
    <row r="238" spans="1:6" x14ac:dyDescent="0.2">
      <c r="A238"/>
      <c r="B238"/>
      <c r="C238" s="2"/>
      <c r="D238" s="1"/>
      <c r="E238" s="1"/>
      <c r="F238" s="1"/>
    </row>
    <row r="239" spans="1:6" x14ac:dyDescent="0.2">
      <c r="A239"/>
      <c r="B239"/>
      <c r="C239" s="2"/>
      <c r="D239" s="1"/>
      <c r="E239" s="1"/>
      <c r="F239" s="1"/>
    </row>
    <row r="240" spans="1:6" x14ac:dyDescent="0.2">
      <c r="A240"/>
      <c r="B240"/>
      <c r="C240" s="2"/>
      <c r="D240" s="1"/>
      <c r="E240" s="1"/>
      <c r="F240" s="1"/>
    </row>
    <row r="241" spans="1:6" x14ac:dyDescent="0.2">
      <c r="A241"/>
      <c r="B241"/>
      <c r="C241" s="2"/>
      <c r="D241" s="1"/>
      <c r="E241" s="1"/>
      <c r="F241" s="1"/>
    </row>
    <row r="242" spans="1:6" x14ac:dyDescent="0.2">
      <c r="A242"/>
      <c r="B242"/>
      <c r="C242" s="2"/>
      <c r="D242" s="1"/>
      <c r="E242" s="1"/>
      <c r="F242" s="1"/>
    </row>
    <row r="243" spans="1:6" x14ac:dyDescent="0.2">
      <c r="A243"/>
      <c r="B243"/>
      <c r="C243" s="2"/>
      <c r="D243" s="1"/>
      <c r="E243" s="1"/>
      <c r="F243" s="1"/>
    </row>
    <row r="244" spans="1:6" x14ac:dyDescent="0.2">
      <c r="A244"/>
      <c r="B244"/>
      <c r="C244" s="2"/>
      <c r="D244" s="1"/>
      <c r="E244" s="1"/>
      <c r="F244" s="1"/>
    </row>
    <row r="245" spans="1:6" x14ac:dyDescent="0.2">
      <c r="A245"/>
      <c r="B245"/>
      <c r="C245" s="2"/>
      <c r="D245" s="1"/>
      <c r="E245" s="1"/>
      <c r="F245" s="1"/>
    </row>
    <row r="246" spans="1:6" x14ac:dyDescent="0.2">
      <c r="A246"/>
      <c r="B246"/>
      <c r="C246" s="2"/>
      <c r="D246" s="1"/>
      <c r="E246" s="1"/>
      <c r="F246" s="1"/>
    </row>
    <row r="247" spans="1:6" x14ac:dyDescent="0.2">
      <c r="A247"/>
      <c r="B247"/>
      <c r="C247" s="2"/>
      <c r="D247" s="1"/>
      <c r="E247" s="1"/>
      <c r="F247" s="1"/>
    </row>
    <row r="248" spans="1:6" x14ac:dyDescent="0.2">
      <c r="A248"/>
      <c r="B248"/>
      <c r="C248" s="2"/>
      <c r="D248" s="1"/>
      <c r="E248" s="1"/>
      <c r="F248" s="1"/>
    </row>
    <row r="249" spans="1:6" x14ac:dyDescent="0.2">
      <c r="A249"/>
      <c r="B249"/>
      <c r="C249" s="2"/>
      <c r="D249" s="1"/>
      <c r="E249" s="1"/>
      <c r="F249" s="1"/>
    </row>
    <row r="250" spans="1:6" x14ac:dyDescent="0.2">
      <c r="A250"/>
      <c r="B250"/>
      <c r="C250" s="2"/>
      <c r="D250" s="1"/>
      <c r="E250" s="1"/>
      <c r="F250" s="1"/>
    </row>
    <row r="251" spans="1:6" x14ac:dyDescent="0.2">
      <c r="A251"/>
      <c r="B251"/>
      <c r="C251" s="2"/>
      <c r="D251" s="1"/>
      <c r="E251" s="1"/>
      <c r="F251" s="1"/>
    </row>
    <row r="252" spans="1:6" x14ac:dyDescent="0.2">
      <c r="A252"/>
      <c r="B252"/>
      <c r="C252" s="2"/>
      <c r="D252" s="1"/>
      <c r="E252" s="1"/>
      <c r="F252" s="1"/>
    </row>
    <row r="253" spans="1:6" x14ac:dyDescent="0.2">
      <c r="A253"/>
      <c r="B253"/>
      <c r="C253" s="2"/>
      <c r="D253" s="1"/>
      <c r="E253" s="1"/>
      <c r="F253" s="1"/>
    </row>
    <row r="254" spans="1:6" x14ac:dyDescent="0.2">
      <c r="A254"/>
      <c r="B254"/>
      <c r="C254" s="2"/>
      <c r="D254" s="1"/>
      <c r="E254" s="1"/>
      <c r="F254" s="1"/>
    </row>
    <row r="255" spans="1:6" x14ac:dyDescent="0.2">
      <c r="A255"/>
      <c r="B255"/>
      <c r="C255" s="2"/>
      <c r="D255" s="1"/>
      <c r="E255" s="1"/>
      <c r="F255" s="1"/>
    </row>
    <row r="256" spans="1:6" x14ac:dyDescent="0.2">
      <c r="A256"/>
      <c r="B256"/>
      <c r="C256" s="2"/>
      <c r="D256" s="1"/>
      <c r="E256" s="1"/>
      <c r="F256" s="1"/>
    </row>
    <row r="257" spans="1:6" x14ac:dyDescent="0.2">
      <c r="A257"/>
      <c r="B257"/>
      <c r="C257" s="2"/>
      <c r="D257" s="1"/>
      <c r="E257" s="1"/>
      <c r="F257" s="1"/>
    </row>
    <row r="258" spans="1:6" x14ac:dyDescent="0.2">
      <c r="A258"/>
      <c r="B258"/>
      <c r="C258" s="2"/>
      <c r="D258" s="1"/>
      <c r="E258" s="1"/>
      <c r="F258" s="1"/>
    </row>
    <row r="259" spans="1:6" x14ac:dyDescent="0.2">
      <c r="A259"/>
      <c r="B259"/>
      <c r="C259" s="2"/>
      <c r="D259" s="1"/>
      <c r="E259" s="1"/>
      <c r="F259" s="1"/>
    </row>
    <row r="260" spans="1:6" x14ac:dyDescent="0.2">
      <c r="A260"/>
      <c r="B260"/>
      <c r="C260" s="2"/>
      <c r="D260" s="1"/>
      <c r="E260" s="1"/>
      <c r="F260" s="1"/>
    </row>
    <row r="261" spans="1:6" x14ac:dyDescent="0.2">
      <c r="A261"/>
      <c r="B261"/>
      <c r="C261" s="2"/>
      <c r="D261" s="1"/>
      <c r="E261" s="1"/>
      <c r="F261" s="1"/>
    </row>
    <row r="262" spans="1:6" x14ac:dyDescent="0.2">
      <c r="A262"/>
      <c r="B262"/>
      <c r="C262" s="2"/>
      <c r="D262" s="1"/>
      <c r="E262" s="1"/>
      <c r="F262" s="1"/>
    </row>
    <row r="263" spans="1:6" x14ac:dyDescent="0.2">
      <c r="A263"/>
      <c r="B263"/>
      <c r="C263" s="2"/>
      <c r="D263" s="1"/>
      <c r="E263" s="1"/>
      <c r="F263" s="1"/>
    </row>
    <row r="264" spans="1:6" x14ac:dyDescent="0.2">
      <c r="A264"/>
      <c r="B264"/>
      <c r="C264" s="2"/>
      <c r="D264" s="1"/>
      <c r="E264" s="1"/>
      <c r="F264" s="1"/>
    </row>
    <row r="265" spans="1:6" x14ac:dyDescent="0.2">
      <c r="A265"/>
      <c r="B265"/>
      <c r="C265" s="2"/>
      <c r="D265" s="1"/>
      <c r="E265" s="1"/>
      <c r="F265" s="1"/>
    </row>
    <row r="266" spans="1:6" x14ac:dyDescent="0.2">
      <c r="A266"/>
      <c r="B266"/>
      <c r="C266" s="2"/>
      <c r="D266" s="1"/>
      <c r="E266" s="1"/>
      <c r="F266" s="1"/>
    </row>
    <row r="267" spans="1:6" x14ac:dyDescent="0.2">
      <c r="A267"/>
      <c r="B267"/>
      <c r="C267" s="2"/>
      <c r="D267" s="1"/>
      <c r="E267" s="1"/>
      <c r="F267" s="1"/>
    </row>
    <row r="268" spans="1:6" x14ac:dyDescent="0.2">
      <c r="A268"/>
      <c r="B268"/>
      <c r="C268" s="2"/>
      <c r="D268" s="1"/>
      <c r="E268" s="1"/>
      <c r="F268" s="1"/>
    </row>
    <row r="269" spans="1:6" x14ac:dyDescent="0.2">
      <c r="A269"/>
      <c r="B269"/>
      <c r="C269" s="2"/>
      <c r="D269" s="1"/>
      <c r="E269" s="1"/>
      <c r="F269" s="1"/>
    </row>
    <row r="270" spans="1:6" x14ac:dyDescent="0.2">
      <c r="A270"/>
      <c r="B270"/>
      <c r="C270" s="2"/>
      <c r="D270" s="1"/>
      <c r="E270" s="1"/>
      <c r="F270" s="1"/>
    </row>
    <row r="271" spans="1:6" x14ac:dyDescent="0.2">
      <c r="A271"/>
      <c r="B271"/>
      <c r="C271" s="2"/>
      <c r="D271" s="1"/>
      <c r="E271" s="1"/>
      <c r="F271" s="1"/>
    </row>
    <row r="272" spans="1:6" x14ac:dyDescent="0.2">
      <c r="A272"/>
      <c r="B272"/>
      <c r="C272" s="2"/>
      <c r="D272" s="1"/>
      <c r="E272" s="1"/>
      <c r="F272" s="1"/>
    </row>
    <row r="273" spans="1:6" x14ac:dyDescent="0.2">
      <c r="A273"/>
      <c r="B273"/>
      <c r="C273" s="2"/>
      <c r="D273" s="1"/>
      <c r="E273" s="1"/>
      <c r="F273" s="1"/>
    </row>
    <row r="274" spans="1:6" x14ac:dyDescent="0.2">
      <c r="A274"/>
      <c r="B274"/>
      <c r="C274" s="2"/>
      <c r="D274" s="1"/>
      <c r="E274" s="1"/>
      <c r="F274" s="1"/>
    </row>
    <row r="275" spans="1:6" x14ac:dyDescent="0.2">
      <c r="A275"/>
      <c r="B275"/>
      <c r="C275" s="2"/>
      <c r="D275" s="1"/>
      <c r="E275" s="1"/>
      <c r="F275" s="1"/>
    </row>
    <row r="276" spans="1:6" x14ac:dyDescent="0.2">
      <c r="A276"/>
      <c r="B276"/>
      <c r="C276" s="2"/>
      <c r="D276" s="1"/>
      <c r="E276" s="1"/>
      <c r="F276" s="1"/>
    </row>
    <row r="277" spans="1:6" x14ac:dyDescent="0.2">
      <c r="A277"/>
      <c r="B277"/>
      <c r="C277" s="2"/>
      <c r="D277" s="1"/>
      <c r="E277" s="1"/>
      <c r="F277" s="1"/>
    </row>
    <row r="278" spans="1:6" x14ac:dyDescent="0.2">
      <c r="A278"/>
      <c r="B278"/>
      <c r="C278" s="2"/>
      <c r="D278" s="1"/>
      <c r="E278" s="1"/>
      <c r="F278" s="1"/>
    </row>
    <row r="279" spans="1:6" x14ac:dyDescent="0.2">
      <c r="A279"/>
      <c r="B279"/>
      <c r="C279" s="2"/>
      <c r="D279" s="1"/>
      <c r="E279" s="1"/>
      <c r="F279" s="1"/>
    </row>
    <row r="280" spans="1:6" x14ac:dyDescent="0.2">
      <c r="A280"/>
      <c r="B280"/>
      <c r="C280" s="2"/>
      <c r="D280" s="1"/>
      <c r="E280" s="1"/>
      <c r="F280" s="1"/>
    </row>
    <row r="281" spans="1:6" x14ac:dyDescent="0.2">
      <c r="A281"/>
      <c r="B281"/>
      <c r="C281" s="2"/>
      <c r="D281" s="1"/>
      <c r="E281" s="1"/>
      <c r="F281" s="1"/>
    </row>
    <row r="282" spans="1:6" x14ac:dyDescent="0.2">
      <c r="A282"/>
      <c r="B282"/>
      <c r="C282" s="2"/>
      <c r="D282" s="1"/>
      <c r="E282" s="1"/>
      <c r="F282" s="1"/>
    </row>
    <row r="283" spans="1:6" x14ac:dyDescent="0.2">
      <c r="A283"/>
      <c r="B283"/>
      <c r="C283" s="2"/>
      <c r="D283" s="1"/>
      <c r="E283" s="1"/>
      <c r="F283" s="1"/>
    </row>
    <row r="284" spans="1:6" x14ac:dyDescent="0.2">
      <c r="A284"/>
      <c r="B284"/>
      <c r="C284" s="2"/>
      <c r="D284" s="1"/>
      <c r="E284" s="1"/>
      <c r="F284" s="1"/>
    </row>
    <row r="285" spans="1:6" x14ac:dyDescent="0.2">
      <c r="A285"/>
      <c r="B285"/>
      <c r="C285" s="2"/>
      <c r="D285" s="1"/>
      <c r="E285" s="1"/>
      <c r="F285" s="1"/>
    </row>
    <row r="286" spans="1:6" x14ac:dyDescent="0.2">
      <c r="A286"/>
      <c r="B286"/>
      <c r="C286" s="2"/>
      <c r="D286" s="1"/>
      <c r="E286" s="1"/>
      <c r="F286" s="1"/>
    </row>
    <row r="287" spans="1:6" x14ac:dyDescent="0.2">
      <c r="A287"/>
      <c r="B287"/>
      <c r="C287" s="2"/>
      <c r="D287" s="1"/>
      <c r="E287" s="1"/>
      <c r="F287" s="1"/>
    </row>
    <row r="288" spans="1:6" x14ac:dyDescent="0.2">
      <c r="A288"/>
      <c r="B288"/>
      <c r="C288" s="2"/>
      <c r="D288" s="1"/>
      <c r="E288" s="1"/>
      <c r="F288" s="1"/>
    </row>
    <row r="289" spans="1:6" x14ac:dyDescent="0.2">
      <c r="A289"/>
      <c r="B289"/>
      <c r="C289" s="2"/>
      <c r="D289" s="1"/>
      <c r="E289" s="1"/>
      <c r="F289" s="1"/>
    </row>
    <row r="290" spans="1:6" x14ac:dyDescent="0.2">
      <c r="A290"/>
      <c r="B290"/>
      <c r="C290" s="2"/>
      <c r="D290" s="1"/>
      <c r="E290" s="1"/>
      <c r="F290" s="1"/>
    </row>
    <row r="291" spans="1:6" x14ac:dyDescent="0.2">
      <c r="A291"/>
      <c r="B291"/>
      <c r="C291" s="2"/>
      <c r="D291" s="1"/>
      <c r="E291" s="1"/>
      <c r="F291" s="1"/>
    </row>
    <row r="292" spans="1:6" x14ac:dyDescent="0.2">
      <c r="A292"/>
      <c r="B292"/>
      <c r="C292" s="2"/>
      <c r="D292" s="1"/>
      <c r="E292" s="1"/>
      <c r="F292" s="1"/>
    </row>
    <row r="293" spans="1:6" x14ac:dyDescent="0.2">
      <c r="A293"/>
      <c r="B293"/>
      <c r="C293" s="2"/>
      <c r="D293" s="1"/>
      <c r="E293" s="1"/>
      <c r="F293" s="1"/>
    </row>
    <row r="294" spans="1:6" x14ac:dyDescent="0.2">
      <c r="A294"/>
      <c r="B294"/>
      <c r="C294" s="2"/>
      <c r="D294" s="1"/>
      <c r="E294" s="1"/>
      <c r="F294" s="1"/>
    </row>
    <row r="295" spans="1:6" x14ac:dyDescent="0.2">
      <c r="A295"/>
      <c r="B295"/>
      <c r="C295" s="2"/>
      <c r="D295" s="1"/>
      <c r="E295" s="1"/>
      <c r="F295" s="1"/>
    </row>
    <row r="296" spans="1:6" x14ac:dyDescent="0.2">
      <c r="A296"/>
      <c r="B296"/>
      <c r="C296" s="2"/>
      <c r="D296" s="1"/>
      <c r="E296" s="1"/>
      <c r="F296" s="1"/>
    </row>
    <row r="297" spans="1:6" x14ac:dyDescent="0.2">
      <c r="A297"/>
      <c r="B297"/>
      <c r="C297" s="2"/>
      <c r="D297" s="1"/>
      <c r="E297" s="1"/>
      <c r="F297" s="1"/>
    </row>
    <row r="298" spans="1:6" x14ac:dyDescent="0.2">
      <c r="A298"/>
      <c r="B298"/>
      <c r="C298" s="2"/>
      <c r="D298" s="1"/>
      <c r="E298" s="1"/>
      <c r="F298" s="1"/>
    </row>
    <row r="299" spans="1:6" x14ac:dyDescent="0.2">
      <c r="A299"/>
      <c r="B299"/>
      <c r="C299" s="2"/>
      <c r="D299" s="1"/>
      <c r="E299" s="1"/>
      <c r="F299" s="1"/>
    </row>
    <row r="300" spans="1:6" x14ac:dyDescent="0.2">
      <c r="A300"/>
      <c r="B300"/>
      <c r="C300" s="2"/>
      <c r="D300" s="1"/>
      <c r="E300" s="1"/>
      <c r="F300" s="1"/>
    </row>
    <row r="301" spans="1:6" x14ac:dyDescent="0.2">
      <c r="A301"/>
      <c r="B301"/>
      <c r="C301" s="2"/>
      <c r="D301" s="1"/>
      <c r="E301" s="1"/>
      <c r="F301" s="1"/>
    </row>
    <row r="302" spans="1:6" x14ac:dyDescent="0.2">
      <c r="A302"/>
      <c r="B302"/>
      <c r="C302" s="2"/>
      <c r="D302" s="1"/>
      <c r="E302" s="1"/>
      <c r="F302" s="1"/>
    </row>
    <row r="303" spans="1:6" x14ac:dyDescent="0.2">
      <c r="A303"/>
      <c r="B303"/>
      <c r="C303" s="2"/>
      <c r="D303" s="1"/>
      <c r="E303" s="1"/>
      <c r="F303" s="1"/>
    </row>
    <row r="304" spans="1:6" x14ac:dyDescent="0.2">
      <c r="A304"/>
      <c r="B304"/>
      <c r="C304" s="2"/>
      <c r="D304" s="1"/>
      <c r="E304" s="1"/>
      <c r="F304" s="1"/>
    </row>
    <row r="305" spans="1:6" x14ac:dyDescent="0.2">
      <c r="A305"/>
      <c r="B305"/>
      <c r="C305" s="2"/>
      <c r="D305" s="1"/>
      <c r="E305" s="1"/>
      <c r="F305" s="1"/>
    </row>
    <row r="306" spans="1:6" x14ac:dyDescent="0.2">
      <c r="A306"/>
      <c r="B306"/>
      <c r="C306" s="2"/>
      <c r="D306" s="1"/>
      <c r="E306" s="1"/>
      <c r="F306" s="1"/>
    </row>
    <row r="307" spans="1:6" x14ac:dyDescent="0.2">
      <c r="A307"/>
      <c r="B307"/>
      <c r="C307" s="2"/>
      <c r="D307" s="1"/>
      <c r="E307" s="1"/>
      <c r="F307" s="1"/>
    </row>
    <row r="308" spans="1:6" x14ac:dyDescent="0.2">
      <c r="A308"/>
      <c r="B308"/>
      <c r="C308" s="2"/>
      <c r="D308" s="1"/>
      <c r="E308" s="1"/>
      <c r="F308" s="1"/>
    </row>
    <row r="309" spans="1:6" x14ac:dyDescent="0.2">
      <c r="A309"/>
      <c r="B309"/>
      <c r="C309" s="2"/>
      <c r="D309" s="1"/>
      <c r="E309" s="1"/>
      <c r="F309" s="1"/>
    </row>
    <row r="310" spans="1:6" x14ac:dyDescent="0.2">
      <c r="A310"/>
      <c r="B310"/>
      <c r="C310" s="2"/>
      <c r="D310" s="1"/>
      <c r="E310" s="1"/>
      <c r="F310" s="1"/>
    </row>
    <row r="311" spans="1:6" x14ac:dyDescent="0.2">
      <c r="A311"/>
      <c r="B311"/>
      <c r="C311" s="2"/>
      <c r="D311" s="1"/>
      <c r="E311" s="1"/>
      <c r="F311" s="1"/>
    </row>
    <row r="312" spans="1:6" x14ac:dyDescent="0.2">
      <c r="A312"/>
      <c r="B312"/>
      <c r="C312" s="2"/>
      <c r="D312" s="1"/>
      <c r="E312" s="1"/>
      <c r="F312" s="1"/>
    </row>
    <row r="313" spans="1:6" x14ac:dyDescent="0.2">
      <c r="A313"/>
      <c r="B313"/>
      <c r="C313" s="2"/>
      <c r="D313" s="1"/>
      <c r="E313" s="1"/>
      <c r="F313" s="1"/>
    </row>
    <row r="314" spans="1:6" x14ac:dyDescent="0.2">
      <c r="A314"/>
      <c r="B314"/>
      <c r="C314" s="2"/>
      <c r="D314" s="1"/>
      <c r="E314" s="1"/>
      <c r="F314" s="1"/>
    </row>
    <row r="315" spans="1:6" x14ac:dyDescent="0.2">
      <c r="A315"/>
      <c r="B315"/>
      <c r="C315" s="2"/>
      <c r="D315" s="1"/>
      <c r="E315" s="1"/>
      <c r="F315" s="1"/>
    </row>
    <row r="316" spans="1:6" x14ac:dyDescent="0.2">
      <c r="A316"/>
      <c r="B316"/>
      <c r="C316" s="2"/>
      <c r="D316" s="1"/>
      <c r="E316" s="1"/>
      <c r="F316" s="1"/>
    </row>
    <row r="317" spans="1:6" x14ac:dyDescent="0.2">
      <c r="A317"/>
      <c r="B317"/>
      <c r="C317" s="2"/>
      <c r="D317" s="1"/>
      <c r="E317" s="1"/>
      <c r="F317" s="1"/>
    </row>
    <row r="318" spans="1:6" x14ac:dyDescent="0.2">
      <c r="A318"/>
      <c r="B318"/>
      <c r="C318" s="2"/>
      <c r="D318" s="1"/>
      <c r="E318" s="1"/>
      <c r="F318" s="1"/>
    </row>
    <row r="319" spans="1:6" x14ac:dyDescent="0.2">
      <c r="A319"/>
      <c r="B319"/>
      <c r="C319" s="2"/>
      <c r="D319" s="1"/>
      <c r="E319" s="1"/>
      <c r="F319" s="1"/>
    </row>
    <row r="320" spans="1:6" x14ac:dyDescent="0.2">
      <c r="A320"/>
      <c r="B320"/>
      <c r="C320" s="2"/>
      <c r="D320" s="1"/>
      <c r="E320" s="1"/>
      <c r="F320" s="1"/>
    </row>
    <row r="321" spans="1:6" x14ac:dyDescent="0.2">
      <c r="A321"/>
      <c r="B321"/>
      <c r="C321" s="2"/>
      <c r="D321" s="1"/>
      <c r="E321" s="1"/>
      <c r="F321" s="1"/>
    </row>
    <row r="322" spans="1:6" x14ac:dyDescent="0.2">
      <c r="A322"/>
      <c r="B322"/>
      <c r="C322" s="2"/>
      <c r="D322" s="1"/>
      <c r="E322" s="1"/>
      <c r="F322" s="1"/>
    </row>
    <row r="323" spans="1:6" x14ac:dyDescent="0.2">
      <c r="A323"/>
      <c r="B323"/>
      <c r="C323" s="2"/>
      <c r="D323" s="1"/>
      <c r="E323" s="1"/>
      <c r="F323" s="1"/>
    </row>
    <row r="324" spans="1:6" x14ac:dyDescent="0.2">
      <c r="A324"/>
      <c r="B324"/>
      <c r="C324" s="2"/>
      <c r="D324" s="1"/>
      <c r="E324" s="1"/>
      <c r="F324" s="1"/>
    </row>
    <row r="325" spans="1:6" x14ac:dyDescent="0.2">
      <c r="A325"/>
      <c r="B325"/>
      <c r="C325" s="2"/>
      <c r="D325" s="1"/>
      <c r="E325" s="1"/>
      <c r="F325" s="1"/>
    </row>
    <row r="326" spans="1:6" x14ac:dyDescent="0.2">
      <c r="A326"/>
      <c r="B326"/>
      <c r="C326" s="2"/>
      <c r="D326" s="1"/>
      <c r="E326" s="1"/>
      <c r="F326" s="1"/>
    </row>
    <row r="327" spans="1:6" x14ac:dyDescent="0.2">
      <c r="A327"/>
      <c r="B327"/>
      <c r="C327" s="2"/>
      <c r="D327" s="1"/>
      <c r="E327" s="1"/>
      <c r="F327" s="1"/>
    </row>
    <row r="328" spans="1:6" x14ac:dyDescent="0.2">
      <c r="A328"/>
      <c r="B328"/>
      <c r="C328" s="2"/>
      <c r="D328" s="1"/>
      <c r="E328" s="1"/>
      <c r="F328" s="1"/>
    </row>
    <row r="329" spans="1:6" x14ac:dyDescent="0.2">
      <c r="A329"/>
      <c r="B329"/>
      <c r="C329" s="2"/>
      <c r="D329" s="1"/>
      <c r="E329" s="1"/>
      <c r="F329" s="1"/>
    </row>
    <row r="330" spans="1:6" x14ac:dyDescent="0.2">
      <c r="A330"/>
      <c r="B330"/>
      <c r="C330" s="2"/>
      <c r="D330" s="1"/>
      <c r="E330" s="1"/>
      <c r="F330" s="1"/>
    </row>
    <row r="331" spans="1:6" x14ac:dyDescent="0.2">
      <c r="A331"/>
      <c r="B331"/>
      <c r="C331" s="2"/>
      <c r="D331" s="1"/>
      <c r="E331" s="1"/>
      <c r="F331" s="1"/>
    </row>
    <row r="332" spans="1:6" x14ac:dyDescent="0.2">
      <c r="A332"/>
      <c r="B332"/>
      <c r="C332" s="2"/>
      <c r="D332" s="1"/>
      <c r="E332" s="1"/>
      <c r="F332" s="1"/>
    </row>
    <row r="333" spans="1:6" x14ac:dyDescent="0.2">
      <c r="A333"/>
      <c r="B333"/>
      <c r="C333" s="2"/>
      <c r="D333" s="1"/>
      <c r="E333" s="1"/>
      <c r="F333" s="1"/>
    </row>
    <row r="334" spans="1:6" x14ac:dyDescent="0.2">
      <c r="A334"/>
      <c r="B334"/>
      <c r="C334" s="2"/>
      <c r="D334" s="1"/>
      <c r="E334" s="1"/>
      <c r="F334" s="1"/>
    </row>
    <row r="335" spans="1:6" x14ac:dyDescent="0.2">
      <c r="A335"/>
      <c r="B335"/>
      <c r="C335" s="2"/>
      <c r="D335" s="1"/>
      <c r="E335" s="1"/>
      <c r="F335" s="1"/>
    </row>
    <row r="336" spans="1:6" x14ac:dyDescent="0.2">
      <c r="A336"/>
      <c r="B336"/>
      <c r="C336" s="2"/>
      <c r="D336" s="1"/>
      <c r="E336" s="1"/>
      <c r="F336" s="1"/>
    </row>
    <row r="337" spans="1:6" x14ac:dyDescent="0.2">
      <c r="A337"/>
      <c r="B337"/>
      <c r="C337" s="2"/>
      <c r="D337" s="1"/>
      <c r="E337" s="1"/>
      <c r="F337" s="1"/>
    </row>
    <row r="338" spans="1:6" x14ac:dyDescent="0.2">
      <c r="A338"/>
      <c r="B338"/>
      <c r="C338" s="2"/>
      <c r="D338" s="1"/>
      <c r="E338" s="1"/>
      <c r="F338" s="1"/>
    </row>
    <row r="339" spans="1:6" x14ac:dyDescent="0.2">
      <c r="A339"/>
      <c r="B339"/>
      <c r="C339" s="2"/>
      <c r="D339" s="1"/>
      <c r="E339" s="1"/>
      <c r="F339" s="1"/>
    </row>
    <row r="340" spans="1:6" x14ac:dyDescent="0.2">
      <c r="A340"/>
      <c r="B340"/>
      <c r="C340" s="2"/>
      <c r="D340" s="1"/>
      <c r="E340" s="1"/>
      <c r="F340" s="1"/>
    </row>
    <row r="341" spans="1:6" x14ac:dyDescent="0.2">
      <c r="A341"/>
      <c r="B341"/>
      <c r="C341" s="2"/>
      <c r="D341" s="1"/>
      <c r="E341" s="1"/>
      <c r="F341" s="1"/>
    </row>
    <row r="342" spans="1:6" x14ac:dyDescent="0.2">
      <c r="A342"/>
      <c r="B342"/>
      <c r="C342" s="2"/>
      <c r="D342" s="1"/>
      <c r="E342" s="1"/>
      <c r="F342" s="1"/>
    </row>
    <row r="343" spans="1:6" x14ac:dyDescent="0.2">
      <c r="A343"/>
      <c r="B343"/>
      <c r="C343" s="2"/>
      <c r="D343" s="1"/>
      <c r="E343" s="1"/>
      <c r="F343" s="1"/>
    </row>
    <row r="344" spans="1:6" x14ac:dyDescent="0.2">
      <c r="A344"/>
      <c r="B344"/>
      <c r="C344" s="2"/>
      <c r="D344" s="1"/>
      <c r="E344" s="1"/>
      <c r="F344" s="1"/>
    </row>
    <row r="345" spans="1:6" x14ac:dyDescent="0.2">
      <c r="A345"/>
      <c r="B345"/>
      <c r="C345" s="2"/>
      <c r="D345" s="1"/>
      <c r="E345" s="1"/>
      <c r="F345" s="1"/>
    </row>
    <row r="346" spans="1:6" x14ac:dyDescent="0.2">
      <c r="A346"/>
      <c r="B346"/>
      <c r="C346" s="2"/>
      <c r="D346" s="1"/>
      <c r="E346" s="1"/>
      <c r="F346" s="1"/>
    </row>
    <row r="347" spans="1:6" x14ac:dyDescent="0.2">
      <c r="A347"/>
      <c r="B347"/>
      <c r="C347" s="2"/>
      <c r="D347" s="1"/>
      <c r="E347" s="1"/>
      <c r="F347" s="1"/>
    </row>
    <row r="348" spans="1:6" x14ac:dyDescent="0.2">
      <c r="A348"/>
      <c r="B348"/>
      <c r="C348" s="2"/>
      <c r="D348" s="1"/>
      <c r="E348" s="1"/>
      <c r="F348" s="1"/>
    </row>
    <row r="349" spans="1:6" x14ac:dyDescent="0.2">
      <c r="A349"/>
      <c r="B349"/>
      <c r="C349" s="2"/>
      <c r="D349" s="1"/>
      <c r="E349" s="1"/>
      <c r="F349" s="1"/>
    </row>
    <row r="350" spans="1:6" x14ac:dyDescent="0.2">
      <c r="A350"/>
      <c r="B350"/>
      <c r="C350" s="2"/>
      <c r="D350" s="1"/>
      <c r="E350" s="1"/>
      <c r="F350" s="1"/>
    </row>
    <row r="351" spans="1:6" x14ac:dyDescent="0.2">
      <c r="A351"/>
      <c r="B351"/>
      <c r="C351" s="2"/>
      <c r="D351" s="1"/>
      <c r="E351" s="1"/>
      <c r="F351" s="1"/>
    </row>
    <row r="352" spans="1:6" x14ac:dyDescent="0.2">
      <c r="A352"/>
      <c r="B352"/>
      <c r="C352" s="2"/>
      <c r="D352" s="1"/>
      <c r="E352" s="1"/>
      <c r="F352" s="1"/>
    </row>
    <row r="353" spans="1:6" x14ac:dyDescent="0.2">
      <c r="A353"/>
      <c r="B353"/>
      <c r="C353" s="2"/>
      <c r="D353" s="1"/>
      <c r="E353" s="1"/>
      <c r="F353" s="1"/>
    </row>
    <row r="354" spans="1:6" x14ac:dyDescent="0.2">
      <c r="A354"/>
      <c r="B354"/>
      <c r="C354" s="2"/>
      <c r="D354" s="1"/>
      <c r="E354" s="1"/>
      <c r="F354" s="1"/>
    </row>
    <row r="355" spans="1:6" x14ac:dyDescent="0.2">
      <c r="A355"/>
      <c r="B355"/>
      <c r="C355" s="2"/>
      <c r="D355" s="1"/>
      <c r="E355" s="1"/>
      <c r="F355" s="1"/>
    </row>
    <row r="356" spans="1:6" x14ac:dyDescent="0.2">
      <c r="A356"/>
      <c r="B356"/>
      <c r="C356" s="2"/>
      <c r="D356" s="1"/>
      <c r="E356" s="1"/>
      <c r="F356" s="1"/>
    </row>
    <row r="357" spans="1:6" x14ac:dyDescent="0.2">
      <c r="A357"/>
      <c r="B357"/>
      <c r="C357" s="2"/>
      <c r="D357" s="1"/>
      <c r="E357" s="1"/>
      <c r="F357" s="1"/>
    </row>
    <row r="358" spans="1:6" x14ac:dyDescent="0.2">
      <c r="A358"/>
      <c r="B358"/>
      <c r="C358" s="2"/>
      <c r="D358" s="1"/>
      <c r="E358" s="1"/>
      <c r="F358" s="1"/>
    </row>
    <row r="359" spans="1:6" x14ac:dyDescent="0.2">
      <c r="A359"/>
      <c r="B359"/>
      <c r="C359" s="2"/>
      <c r="D359" s="1"/>
      <c r="E359" s="1"/>
      <c r="F359" s="1"/>
    </row>
    <row r="360" spans="1:6" x14ac:dyDescent="0.2">
      <c r="A360"/>
      <c r="B360"/>
      <c r="C360" s="2"/>
      <c r="D360" s="1"/>
      <c r="E360" s="1"/>
      <c r="F360" s="1"/>
    </row>
    <row r="361" spans="1:6" x14ac:dyDescent="0.2">
      <c r="A361"/>
      <c r="B361"/>
      <c r="C361" s="2"/>
      <c r="D361" s="1"/>
      <c r="E361" s="1"/>
      <c r="F361" s="1"/>
    </row>
    <row r="362" spans="1:6" x14ac:dyDescent="0.2">
      <c r="A362"/>
      <c r="B362"/>
      <c r="C362" s="2"/>
      <c r="D362" s="1"/>
      <c r="E362" s="1"/>
      <c r="F362" s="1"/>
    </row>
    <row r="363" spans="1:6" x14ac:dyDescent="0.2">
      <c r="A363"/>
      <c r="B363"/>
      <c r="C363" s="2"/>
      <c r="D363" s="1"/>
      <c r="E363" s="1"/>
      <c r="F363" s="1"/>
    </row>
    <row r="364" spans="1:6" x14ac:dyDescent="0.2">
      <c r="A364"/>
      <c r="B364"/>
      <c r="C364" s="2"/>
      <c r="D364" s="1"/>
      <c r="E364" s="1"/>
      <c r="F364" s="1"/>
    </row>
    <row r="365" spans="1:6" x14ac:dyDescent="0.2">
      <c r="A365"/>
      <c r="B365"/>
      <c r="C365" s="2"/>
      <c r="D365" s="1"/>
      <c r="E365" s="1"/>
      <c r="F365" s="1"/>
    </row>
    <row r="366" spans="1:6" x14ac:dyDescent="0.2">
      <c r="A366"/>
      <c r="B366"/>
      <c r="C366" s="2"/>
      <c r="D366" s="1"/>
      <c r="E366" s="1"/>
      <c r="F366" s="1"/>
    </row>
    <row r="367" spans="1:6" x14ac:dyDescent="0.2">
      <c r="A367"/>
      <c r="B367"/>
      <c r="C367" s="2"/>
      <c r="D367" s="1"/>
      <c r="E367" s="1"/>
      <c r="F367" s="1"/>
    </row>
    <row r="368" spans="1:6" x14ac:dyDescent="0.2">
      <c r="A368" t="s">
        <v>0</v>
      </c>
      <c r="D368" s="1">
        <f>SUBTOTAL(109,Original_Registrations_by_Quarter_and_Make[PHEV/EREV])</f>
        <v>36802</v>
      </c>
      <c r="E368" s="1">
        <f>SUBTOTAL(109,Original_Registrations_by_Quarter_and_Make[BEV])</f>
        <v>21476</v>
      </c>
      <c r="F368" s="1">
        <f>SUBTOTAL(109,Original_Registrations_by_Quarter_and_Make[Total EVs])</f>
        <v>58278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EA878D7837B945854D49672FF01331" ma:contentTypeVersion="4" ma:contentTypeDescription="Create a new document." ma:contentTypeScope="" ma:versionID="00832b647814e82686fd9632a45c28ec">
  <xsd:schema xmlns:xsd="http://www.w3.org/2001/XMLSchema" xmlns:xs="http://www.w3.org/2001/XMLSchema" xmlns:p="http://schemas.microsoft.com/office/2006/metadata/properties" xmlns:ns2="5b1084c2-fb12-4586-8f06-6e60571a57a4" targetNamespace="http://schemas.microsoft.com/office/2006/metadata/properties" ma:root="true" ma:fieldsID="eeed1f1793fea73a7b17d5e574cc5d7d" ns2:_="">
    <xsd:import namespace="5b1084c2-fb12-4586-8f06-6e60571a57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1084c2-fb12-4586-8f06-6e60571a5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401EF-4F46-486E-9437-7C791851954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1B3008-A3A7-410E-8DC6-1E79F6094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1084c2-fb12-4586-8f06-6e60571a57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E687D2-914A-40E4-BD4D-B9EF89AF51C3}">
  <ds:schemaRefs>
    <ds:schemaRef ds:uri="http://schemas.openxmlformats.org/package/2006/metadata/core-properties"/>
    <ds:schemaRef ds:uri="http://schemas.microsoft.com/office/2006/documentManagement/types"/>
    <ds:schemaRef ds:uri="5b1084c2-fb12-4586-8f06-6e60571a57a4"/>
    <ds:schemaRef ds:uri="http://purl.org/dc/elements/1.1/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336577A-58FB-43B8-BA06-8A560CFCC93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Current by Utility</vt:lpstr>
      <vt:lpstr>Current by ZIP Code</vt:lpstr>
      <vt:lpstr>Current by Make-Model</vt:lpstr>
      <vt:lpstr>Current by County</vt:lpstr>
      <vt:lpstr>Original Over Time</vt:lpstr>
      <vt:lpstr>Original by Make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Nigro</dc:creator>
  <cp:keywords/>
  <dc:description/>
  <cp:lastModifiedBy>Katrin Stricker</cp:lastModifiedBy>
  <cp:revision/>
  <dcterms:created xsi:type="dcterms:W3CDTF">2018-03-08T16:22:44Z</dcterms:created>
  <dcterms:modified xsi:type="dcterms:W3CDTF">2019-07-31T16:46:11Z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0x010100CFEA878D7837B945854D49672FF01331</vt:lpwstr>
  </property>
  <property fmtid="{D5CDD505-2E9C-101B-9397-08002B2CF9AE}" pid="3" name="AuthorIds_UIVersion_17408">
    <vt:lpwstr>6</vt:lpwstr>
  </property>
  <property fmtid="{D5CDD505-2E9C-101B-9397-08002B2CF9AE}" pid="4" name="AuthorIds_UIVersion_18432">
    <vt:lpwstr>6</vt:lpwstr>
  </property>
</Properties>
</file>